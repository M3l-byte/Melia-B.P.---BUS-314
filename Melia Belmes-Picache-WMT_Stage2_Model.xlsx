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eliabelmes-picache/Desktop/"/>
    </mc:Choice>
  </mc:AlternateContent>
  <xr:revisionPtr revIDLastSave="0" documentId="8_{985022D5-524E-F448-B57C-ADDF6F8E0C31}" xr6:coauthVersionLast="47" xr6:coauthVersionMax="47" xr10:uidLastSave="{00000000-0000-0000-0000-000000000000}"/>
  <bookViews>
    <workbookView xWindow="0" yWindow="500" windowWidth="16380" windowHeight="14500" tabRatio="500" xr2:uid="{00000000-000D-0000-FFFF-FFFF00000000}"/>
  </bookViews>
  <sheets>
    <sheet name="Balance Sheet" sheetId="1" r:id="rId1"/>
    <sheet name="Income Statement" sheetId="2" r:id="rId2"/>
    <sheet name="Cash Flow" sheetId="3" r:id="rId3"/>
    <sheet name="Ratios" sheetId="4" r:id="rId4"/>
    <sheet name="Not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9" i="4" l="1"/>
  <c r="C57" i="4"/>
  <c r="C27" i="4"/>
  <c r="C24" i="4"/>
  <c r="C19" i="4"/>
  <c r="C17" i="4"/>
  <c r="C51" i="4" s="1"/>
  <c r="C16" i="4"/>
  <c r="C54" i="4" s="1"/>
  <c r="C12" i="4"/>
  <c r="C11" i="4"/>
  <c r="C10" i="4"/>
  <c r="C26" i="3"/>
  <c r="B26" i="3"/>
  <c r="B19" i="2"/>
  <c r="B21" i="2" s="1"/>
  <c r="B17" i="2"/>
  <c r="C13" i="2"/>
  <c r="C17" i="2" s="1"/>
  <c r="C19" i="2" s="1"/>
  <c r="C21" i="2" s="1"/>
  <c r="B13" i="2"/>
  <c r="C56" i="4" s="1"/>
  <c r="C10" i="2"/>
  <c r="B10" i="2"/>
  <c r="C7" i="2"/>
  <c r="B7" i="2"/>
  <c r="C43" i="1"/>
  <c r="C15" i="4" s="1"/>
  <c r="B43" i="1"/>
  <c r="C61" i="4" s="1"/>
  <c r="C35" i="1"/>
  <c r="B35" i="1"/>
  <c r="C29" i="1"/>
  <c r="C36" i="1" s="1"/>
  <c r="B29" i="1"/>
  <c r="C25" i="4" s="1"/>
  <c r="C17" i="1"/>
  <c r="B17" i="1"/>
  <c r="C10" i="1"/>
  <c r="C18" i="1" s="1"/>
  <c r="C18" i="4" s="1"/>
  <c r="B10" i="1"/>
  <c r="C71" i="4" s="1"/>
  <c r="C20" i="4" l="1"/>
  <c r="C50" i="4"/>
  <c r="C75" i="4"/>
  <c r="C80" i="4" s="1"/>
  <c r="C55" i="4"/>
  <c r="C42" i="4"/>
  <c r="C37" i="4"/>
  <c r="C45" i="1"/>
  <c r="C46" i="1" s="1"/>
  <c r="C40" i="4"/>
  <c r="C52" i="4"/>
  <c r="C72" i="4"/>
  <c r="C53" i="4"/>
  <c r="C63" i="4"/>
  <c r="C64" i="4"/>
  <c r="C76" i="4"/>
  <c r="B36" i="1"/>
  <c r="B46" i="1" s="1"/>
  <c r="C22" i="4"/>
  <c r="C30" i="4" s="1"/>
  <c r="C47" i="4" s="1"/>
  <c r="C65" i="4"/>
  <c r="C77" i="4"/>
  <c r="C13" i="4"/>
  <c r="C60" i="4"/>
  <c r="C70" i="4"/>
  <c r="B18" i="1"/>
  <c r="B45" i="1"/>
  <c r="C26" i="4"/>
  <c r="C78" i="4" l="1"/>
  <c r="C81" i="4" s="1"/>
  <c r="C66" i="4"/>
  <c r="C23" i="4"/>
  <c r="C31" i="4" s="1"/>
  <c r="C45" i="4" s="1"/>
  <c r="C62" i="4"/>
  <c r="C36" i="4"/>
  <c r="C35" i="4"/>
  <c r="C69" i="4"/>
  <c r="C28" i="4"/>
  <c r="C32" i="4" s="1"/>
  <c r="C46" i="4" s="1"/>
  <c r="C41" i="4"/>
</calcChain>
</file>

<file path=xl/sharedStrings.xml><?xml version="1.0" encoding="utf-8"?>
<sst xmlns="http://schemas.openxmlformats.org/spreadsheetml/2006/main" count="386" uniqueCount="324">
  <si>
    <t>Walmart Inc. (WMT) — Balance Sheet</t>
  </si>
  <si>
    <t>Fiscal Year Ended January 31  |  Amounts in $Millions  |  Source: WMT FY2025 10-K (SEC EDGAR)</t>
  </si>
  <si>
    <t>Line Item</t>
  </si>
  <si>
    <t>FY2025
(Jan 31, 2025)</t>
  </si>
  <si>
    <t>FY2024
(Jan 31, 2024)</t>
  </si>
  <si>
    <t>Notes / Source</t>
  </si>
  <si>
    <t>ASSETS</t>
  </si>
  <si>
    <t>Current Assets</t>
  </si>
  <si>
    <t>Cash and cash equivalents</t>
  </si>
  <si>
    <t>10-K Balance Sheet</t>
  </si>
  <si>
    <t>Receivables, net</t>
  </si>
  <si>
    <t>Inventories</t>
  </si>
  <si>
    <t>Prepaid expenses and other</t>
  </si>
  <si>
    <t>Total Current Assets</t>
  </si>
  <si>
    <t>Non-Current Assets</t>
  </si>
  <si>
    <t>Property and equipment, net</t>
  </si>
  <si>
    <t>Operating lease right-of-use assets</t>
  </si>
  <si>
    <t>Finance lease right-of-use assets, net</t>
  </si>
  <si>
    <t>Goodwill</t>
  </si>
  <si>
    <t>Other long-term assets</t>
  </si>
  <si>
    <t>Total Non-Current Assets</t>
  </si>
  <si>
    <t>TOTAL ASSETS</t>
  </si>
  <si>
    <t>LIABILITIES &amp; EQUITY</t>
  </si>
  <si>
    <t>Current Liabilities</t>
  </si>
  <si>
    <t>Short-term borrowings</t>
  </si>
  <si>
    <t>Accounts payable</t>
  </si>
  <si>
    <t>Accrued liabilities</t>
  </si>
  <si>
    <t>Long-term debt due within one year</t>
  </si>
  <si>
    <t>Operating lease obligations due within one year</t>
  </si>
  <si>
    <t>Finance lease obligations due within one year</t>
  </si>
  <si>
    <t>Accrued income taxes</t>
  </si>
  <si>
    <t>Total Current Liabilities</t>
  </si>
  <si>
    <t>Non-Current Liabilities</t>
  </si>
  <si>
    <t>Long-term debt</t>
  </si>
  <si>
    <t>Long-term operating lease obligations</t>
  </si>
  <si>
    <t>Long-term finance lease obligations</t>
  </si>
  <si>
    <t>Deferred income taxes and other</t>
  </si>
  <si>
    <t>Total Non-Current Liabilities</t>
  </si>
  <si>
    <t>TOTAL LIABILITIES</t>
  </si>
  <si>
    <t>SHAREHOLDERS' EQUITY</t>
  </si>
  <si>
    <t>Common stock</t>
  </si>
  <si>
    <t>Capital in excess of par value</t>
  </si>
  <si>
    <t>Retained earnings</t>
  </si>
  <si>
    <t>Accumulated other comprehensive loss</t>
  </si>
  <si>
    <t>Total Walmart Shareholders' Equity</t>
  </si>
  <si>
    <t>Noncontrolling interest</t>
  </si>
  <si>
    <t>TOTAL EQUITY</t>
  </si>
  <si>
    <t>TOTAL LIABILITIES &amp; EQUITY</t>
  </si>
  <si>
    <t>Walmart Inc. (WMT) — Income Statement</t>
  </si>
  <si>
    <t>REVENUE</t>
  </si>
  <si>
    <t>Net sales</t>
  </si>
  <si>
    <t>10-K Income Statement</t>
  </si>
  <si>
    <t>Membership and other income</t>
  </si>
  <si>
    <t>Total Revenue</t>
  </si>
  <si>
    <t>COSTS &amp; EXPENSES</t>
  </si>
  <si>
    <t>Cost of sales</t>
  </si>
  <si>
    <t>Gross Profit</t>
  </si>
  <si>
    <t>Operating, SG&amp;A expenses</t>
  </si>
  <si>
    <t xml:space="preserve">  of which: Depreciation &amp; Amortization (included in above)</t>
  </si>
  <si>
    <t>10-K CF Statement</t>
  </si>
  <si>
    <t>Operating Income (EBIT)</t>
  </si>
  <si>
    <t>Interest income</t>
  </si>
  <si>
    <t>Interest expense (debt)</t>
  </si>
  <si>
    <t>Other gains / (losses)</t>
  </si>
  <si>
    <t>Income Before Taxes</t>
  </si>
  <si>
    <t>Provision for income taxes</t>
  </si>
  <si>
    <t>Consolidated Net Income</t>
  </si>
  <si>
    <t>Less: Net income attributable to noncontrolling interest</t>
  </si>
  <si>
    <t>Net Income Attributable to Walmart</t>
  </si>
  <si>
    <t>Dividends paid</t>
  </si>
  <si>
    <t>10-K Cash Flow Statement</t>
  </si>
  <si>
    <t>Walmart Inc. (WMT) — Cash Flow Statement</t>
  </si>
  <si>
    <t>FY2025</t>
  </si>
  <si>
    <t>FY2024</t>
  </si>
  <si>
    <t>Notes</t>
  </si>
  <si>
    <t>OPERATING ACTIVITIES</t>
  </si>
  <si>
    <t>Consolidated net income</t>
  </si>
  <si>
    <t>Depreciation and amortization</t>
  </si>
  <si>
    <t>Net unrealized and realized (gains) losses</t>
  </si>
  <si>
    <t>Deferred income taxes</t>
  </si>
  <si>
    <t>Other operating activities</t>
  </si>
  <si>
    <t>Changes in working capital items</t>
  </si>
  <si>
    <t>Net Cash from Operating Activities</t>
  </si>
  <si>
    <t>INVESTING ACTIVITIES</t>
  </si>
  <si>
    <t>Payments for property and equipment (Capex)</t>
  </si>
  <si>
    <t>Proceeds from disposal of property &amp; equipment</t>
  </si>
  <si>
    <t>Acquisitions and other investing</t>
  </si>
  <si>
    <t>Net Cash from Investing Activities</t>
  </si>
  <si>
    <t>FINANCING ACTIVITIES</t>
  </si>
  <si>
    <t>Net change in short-term borrowings</t>
  </si>
  <si>
    <t>Proceeds from issuance of long-term debt</t>
  </si>
  <si>
    <t>Repayments of long-term debt</t>
  </si>
  <si>
    <t>Purchase of Company stock</t>
  </si>
  <si>
    <t>Other financing activities</t>
  </si>
  <si>
    <t>Net Cash from Financing Activities</t>
  </si>
  <si>
    <t>Free Cash Flow (OCF - Capex)</t>
  </si>
  <si>
    <t>Walmart Inc. (WMT) — Financial Ratio Analysis  |  FY2025</t>
  </si>
  <si>
    <t>Color Key:  Yellow = Raw Input  |  Blue = Analyst Assumption  |  Green = Cross-Sheet Formula  |  Gray = Computed Output</t>
  </si>
  <si>
    <t>Input / Ratio</t>
  </si>
  <si>
    <t>Named Range</t>
  </si>
  <si>
    <t>Value</t>
  </si>
  <si>
    <t>Formula (Named-Range Notation)</t>
  </si>
  <si>
    <t>SECTION 1 — MARKET &amp; ANALYST INPUTS</t>
  </si>
  <si>
    <t>Share price (Jan 31, 2025)</t>
  </si>
  <si>
    <t>share_price</t>
  </si>
  <si>
    <t>Market close Jan 31, 2025</t>
  </si>
  <si>
    <t>Shares outstanding (millions, diluted)</t>
  </si>
  <si>
    <t>shares_outstanding</t>
  </si>
  <si>
    <t>FY2025 10-K, diluted shares</t>
  </si>
  <si>
    <t>Cost of capital (WACC)</t>
  </si>
  <si>
    <t>cost_capital</t>
  </si>
  <si>
    <t>Estimated 7.6% WACC</t>
  </si>
  <si>
    <t>Tax rate (effective)</t>
  </si>
  <si>
    <t>tax_rate</t>
  </si>
  <si>
    <t>FY2025 effective rate from 10-K</t>
  </si>
  <si>
    <t>SECTION 2 — DERIVED INPUTS</t>
  </si>
  <si>
    <t>Market capitalization ($M)</t>
  </si>
  <si>
    <t>market_capitalization</t>
  </si>
  <si>
    <t>'share_price × shares_outstanding</t>
  </si>
  <si>
    <t>share_price × shares_outstanding</t>
  </si>
  <si>
    <t>After-tax operating income ($M)</t>
  </si>
  <si>
    <t>currentYear_after_tax_operating_income</t>
  </si>
  <si>
    <t>'inc_ebit × (1 - tax_rate)</t>
  </si>
  <si>
    <t>EBIT × (1 - tax_rate)</t>
  </si>
  <si>
    <t>Daily sales average ($M)</t>
  </si>
  <si>
    <t>currentYear_daily_sales_average</t>
  </si>
  <si>
    <t>'inc_sales / 365</t>
  </si>
  <si>
    <t>net_sales / 365</t>
  </si>
  <si>
    <t>Net working capital ($M)</t>
  </si>
  <si>
    <t>currentYear_working_capital_net</t>
  </si>
  <si>
    <t>'bal_assets_current_fy25 - bal_liabilities_current_fy25</t>
  </si>
  <si>
    <t>current assets - current liabilities</t>
  </si>
  <si>
    <t>Start-of-Year Items (FY2024 Balance Sheet = Start of FY2025)</t>
  </si>
  <si>
    <t>Start-of-year equity ($M)</t>
  </si>
  <si>
    <t>startYear_equity</t>
  </si>
  <si>
    <t>FY2024 BS equity</t>
  </si>
  <si>
    <t>Start-of-year inventories ($M)</t>
  </si>
  <si>
    <t>startYear_inventories</t>
  </si>
  <si>
    <t>FY2024 BS inv</t>
  </si>
  <si>
    <t>Start-of-year receivables ($M)</t>
  </si>
  <si>
    <t>startYear_receivables</t>
  </si>
  <si>
    <t>FY2024 BS recv</t>
  </si>
  <si>
    <t>Start-of-year total assets ($M)</t>
  </si>
  <si>
    <t>startYear_total_assets</t>
  </si>
  <si>
    <t>FY2024 BS total assets</t>
  </si>
  <si>
    <t>Start-of-year long-term debt ($M)</t>
  </si>
  <si>
    <t>startYear_long_term_debt</t>
  </si>
  <si>
    <t>FY2024 BS LT debt</t>
  </si>
  <si>
    <t>Start-of-year total capitalization ($M)</t>
  </si>
  <si>
    <t>startYear_total_capitalization</t>
  </si>
  <si>
    <t>LT debt + equity (FY2024)</t>
  </si>
  <si>
    <t>Current-Year Items (FY2025)</t>
  </si>
  <si>
    <t>Current-year equity ($M)</t>
  </si>
  <si>
    <t>currentYear_equity</t>
  </si>
  <si>
    <t>Current-year total assets ($M)</t>
  </si>
  <si>
    <t>currentYear_total_assets</t>
  </si>
  <si>
    <t>Current-year long-term debt ($M)</t>
  </si>
  <si>
    <t>currentYear_long_term_debt</t>
  </si>
  <si>
    <t>Current-year current liabilities ($M)</t>
  </si>
  <si>
    <t>currentYear_liabilities_current</t>
  </si>
  <si>
    <t>Current-year current assets ($M)</t>
  </si>
  <si>
    <t>currentYear_assets_current</t>
  </si>
  <si>
    <t>Current-year cash ($M)</t>
  </si>
  <si>
    <t>currentYear_cash</t>
  </si>
  <si>
    <t>Current-year total capitalization ($M)</t>
  </si>
  <si>
    <t>currentYear_total_capitalization</t>
  </si>
  <si>
    <t>Average Items</t>
  </si>
  <si>
    <t>Average equity ($M)</t>
  </si>
  <si>
    <t>avg_equity</t>
  </si>
  <si>
    <t>Average total assets ($M)</t>
  </si>
  <si>
    <t>avg_total_assets</t>
  </si>
  <si>
    <t>Average total capitalization ($M)</t>
  </si>
  <si>
    <t>avg_total_capitalization</t>
  </si>
  <si>
    <t>SECTION 3 — PERFORMANCE RATIOS</t>
  </si>
  <si>
    <t>Market Value Added (MVA)</t>
  </si>
  <si>
    <t>ratio_MVA</t>
  </si>
  <si>
    <t>'market_capitalization - currentyear_equity</t>
  </si>
  <si>
    <t>Market cap minus book equity</t>
  </si>
  <si>
    <t>Market-to-Book Ratio</t>
  </si>
  <si>
    <t>ratio_market_to_book</t>
  </si>
  <si>
    <t>'market_capitalization / currentyear_equity</t>
  </si>
  <si>
    <t>Price premium over book value</t>
  </si>
  <si>
    <t>Economic Value Added (EVA)</t>
  </si>
  <si>
    <t>ratio_EVA</t>
  </si>
  <si>
    <t>'currentyear_after_tax_operating_income - (cost_capital × startYear_total_capitalization))</t>
  </si>
  <si>
    <t>Value created above cost of capital</t>
  </si>
  <si>
    <t>SECTION 4 — PROFITABILITY RATIOS (Start-of-Year Denominators)</t>
  </si>
  <si>
    <t>ROA (start-of-year)</t>
  </si>
  <si>
    <t>ratio_ROA_start</t>
  </si>
  <si>
    <t>'currentyear_after_tax_operating_income / startyear_total_assets</t>
  </si>
  <si>
    <t>ROC (start-of-year)</t>
  </si>
  <si>
    <t>ratio_ROC_start</t>
  </si>
  <si>
    <t>'currentyear_after_tax_operating_income / startyear_total_capitalization</t>
  </si>
  <si>
    <t>ROE (start-of-year)</t>
  </si>
  <si>
    <t>ratio_ROE_start</t>
  </si>
  <si>
    <t>'inc_net / startyear_equity</t>
  </si>
  <si>
    <t>SECTION 5 — PROFITABILITY RATIOS (Average Denominators)</t>
  </si>
  <si>
    <t>ROA (average)</t>
  </si>
  <si>
    <t>ratio_ROA_avg</t>
  </si>
  <si>
    <t>'currentyear_after_tax_operating_income / avg_total_assets</t>
  </si>
  <si>
    <t>ROC (average)</t>
  </si>
  <si>
    <t>ratio_ROC_avg</t>
  </si>
  <si>
    <t>'currentyear_after_tax_operating_income / avg_total_capitalization</t>
  </si>
  <si>
    <t>ROE (average)</t>
  </si>
  <si>
    <t>ratio_ROE_avg</t>
  </si>
  <si>
    <t>'inc_net / avg_equity</t>
  </si>
  <si>
    <t>SECTION 6 — EFFICIENCY RATIOS</t>
  </si>
  <si>
    <t>Asset Turnover</t>
  </si>
  <si>
    <t>ratio_asset_turnover</t>
  </si>
  <si>
    <t>'inc_sales / startyear_total_assets</t>
  </si>
  <si>
    <t>Receivables Turnover</t>
  </si>
  <si>
    <t>ratio_receivables_turnover</t>
  </si>
  <si>
    <t>'inc_sales / startyear_receivables</t>
  </si>
  <si>
    <t>Average Collection Period (days)</t>
  </si>
  <si>
    <t>ratio_avg_collection_period</t>
  </si>
  <si>
    <t>'365 / receivables_turnover</t>
  </si>
  <si>
    <t>Inventory Turnover</t>
  </si>
  <si>
    <t>ratio_inventory_turnover</t>
  </si>
  <si>
    <t>'inc_cost_goods_sold / startyear_inventories</t>
  </si>
  <si>
    <t>Days in Inventory</t>
  </si>
  <si>
    <t>ratio_days_in_inventory</t>
  </si>
  <si>
    <t>'365 / inventory_turnover</t>
  </si>
  <si>
    <t>Net Profit Margin</t>
  </si>
  <si>
    <t>ratio_profit_margin</t>
  </si>
  <si>
    <t>'inc_net / inc_sales</t>
  </si>
  <si>
    <t>Operating Profit Margin</t>
  </si>
  <si>
    <t>ratio_operating_profit_margin</t>
  </si>
  <si>
    <t>'inc_ebit / inc_sales</t>
  </si>
  <si>
    <t>Gross Profit Margin</t>
  </si>
  <si>
    <t>ratio_gross_margin</t>
  </si>
  <si>
    <t>'(inc_sales - inc_cogs) / inc_sales</t>
  </si>
  <si>
    <t>SECTION 7 — LEVERAGE RATIOS</t>
  </si>
  <si>
    <t>Long-Term Debt Ratio</t>
  </si>
  <si>
    <t>ratio_lt_debt_ratio</t>
  </si>
  <si>
    <t>'bal_debt_long_term / (bal_debt_long_term + bal_equity_shareholders)</t>
  </si>
  <si>
    <t>Debt-to-Equity Ratio</t>
  </si>
  <si>
    <t>ratio_debt_equity</t>
  </si>
  <si>
    <t>'bal_debt_long_term / bal_equity_shareholders</t>
  </si>
  <si>
    <t>Total Debt Ratio</t>
  </si>
  <si>
    <t>ratio_total_debt</t>
  </si>
  <si>
    <t>'(total_assets - equity) / total_assets</t>
  </si>
  <si>
    <t>Times Interest Earned (TIE)</t>
  </si>
  <si>
    <t>ratio_times_interest_earned</t>
  </si>
  <si>
    <t>'inc_ebit / inc_interest_expense</t>
  </si>
  <si>
    <t>Cash Coverage</t>
  </si>
  <si>
    <t>ratio_cash_coverage</t>
  </si>
  <si>
    <t>'(inc_ebit + inc_depreciation) / inc_interest_expense</t>
  </si>
  <si>
    <t>Debt Burden</t>
  </si>
  <si>
    <t>ratio_debt_burden</t>
  </si>
  <si>
    <t>'(inc_ebit + inc_interest_expense) / inc_ebit</t>
  </si>
  <si>
    <t>Leverage Ratio</t>
  </si>
  <si>
    <t>ratio_leverage</t>
  </si>
  <si>
    <t>'total_assets / equity</t>
  </si>
  <si>
    <t>SECTION 8 — LIQUIDITY RATIOS</t>
  </si>
  <si>
    <t>NWC-to-Assets</t>
  </si>
  <si>
    <t>ratio_nwc_to_assets</t>
  </si>
  <si>
    <t>'currentyear_working_capital_net / currentyear_total_assets</t>
  </si>
  <si>
    <t>Current Ratio</t>
  </si>
  <si>
    <t>ratio_current</t>
  </si>
  <si>
    <t>'bal_assets_current / bal_liabilities_current</t>
  </si>
  <si>
    <t>Quick Ratio</t>
  </si>
  <si>
    <t>ratio_quick</t>
  </si>
  <si>
    <t>'(bal_assets_current - bal_inventories) / bal_liabilities_current</t>
  </si>
  <si>
    <t>Cash Ratio</t>
  </si>
  <si>
    <t>ratio_cash</t>
  </si>
  <si>
    <t>'bal_cash / bal_liabilities_current</t>
  </si>
  <si>
    <t>SECTION 9 — DU PONT DECOMPOSITION</t>
  </si>
  <si>
    <t>Du Pont — Asset Turnover</t>
  </si>
  <si>
    <t>dupont_asset_turnover</t>
  </si>
  <si>
    <t>Du Pont — Operating Profit Margin</t>
  </si>
  <si>
    <t>dupont_op_margin</t>
  </si>
  <si>
    <t>Du Pont — Debt Burden</t>
  </si>
  <si>
    <t>dupont_debt_burden</t>
  </si>
  <si>
    <t>'(ebit - interest_expense) / ebit  [≈ net income / EBIT]</t>
  </si>
  <si>
    <t>Du Pont — Leverage (Assets/Equity)</t>
  </si>
  <si>
    <t>dupont_leverage</t>
  </si>
  <si>
    <t>Du Pont — Tax Burden</t>
  </si>
  <si>
    <t>dupont_tax_burden</t>
  </si>
  <si>
    <t>'1 - tax_rate</t>
  </si>
  <si>
    <t>Du Pont ROA</t>
  </si>
  <si>
    <t>dupont_ROA</t>
  </si>
  <si>
    <t>'asset turnover × Operating Profit Margin</t>
  </si>
  <si>
    <t>Should match ratio_ROA_start</t>
  </si>
  <si>
    <t>Du Pont ROE</t>
  </si>
  <si>
    <t>dupont_ROE</t>
  </si>
  <si>
    <t>'leverage × Asset Turnover × Op Margin × Debt Burden × Tax Burden</t>
  </si>
  <si>
    <t>Should approximate ratio_ROE_start</t>
  </si>
  <si>
    <t>Walmart Inc. (WMT) — Model Notes, Assumptions &amp; Data Sources</t>
  </si>
  <si>
    <t>Company</t>
  </si>
  <si>
    <t>Walmart Inc. (NYSE: WMT)</t>
  </si>
  <si>
    <t>Fiscal Year</t>
  </si>
  <si>
    <t>FY2025 — fiscal year ended January 31, 2025</t>
  </si>
  <si>
    <t>Prior Year</t>
  </si>
  <si>
    <t>FY2024 — fiscal year ended January 31, 2024</t>
  </si>
  <si>
    <t>Currency</t>
  </si>
  <si>
    <t>All figures in USD millions unless otherwise noted</t>
  </si>
  <si>
    <t>Primary Source</t>
  </si>
  <si>
    <t>WMT FY2025 Form 10-K filed with SEC ~February 20, 2025</t>
  </si>
  <si>
    <t>CF Source</t>
  </si>
  <si>
    <t>WMT FY2025 Q4 Earnings Release (Form 8-K, Exhibit 99.1), February 20, 2025</t>
  </si>
  <si>
    <t>Share Price</t>
  </si>
  <si>
    <t>$95.28 — market close January 31, 2025 (fiscal year-end)</t>
  </si>
  <si>
    <t>Shares Outstanding</t>
  </si>
  <si>
    <t>8,081 million diluted shares per FY2025 10-K</t>
  </si>
  <si>
    <t>WACC / Cost of Capital</t>
  </si>
  <si>
    <t>7.6% — estimated WACC based on market beta, risk-free rate, and capital structure</t>
  </si>
  <si>
    <t>Effective Tax Rate</t>
  </si>
  <si>
    <t>23.38% — FY2025 effective rate per 10-K income tax disclosure</t>
  </si>
  <si>
    <t>Depreciation</t>
  </si>
  <si>
    <t>Taken from Cash Flow Statement adjustments ($12,978M FY2025)</t>
  </si>
  <si>
    <t>Start-of-Year Values</t>
  </si>
  <si>
    <t>FY2024 ending balance sheet used as FY2025 start-of-year for ROA, ROE, ROC denominators</t>
  </si>
  <si>
    <t>Interest Expense</t>
  </si>
  <si>
    <t>Debt interest only ($2,728M); finance lease interest excluded from TIE/coverage</t>
  </si>
  <si>
    <t>NWC Note</t>
  </si>
  <si>
    <t>NWC is negative (-$15,538M) because Walmart operates with a negative working capital model (payables &gt; current assets) — a normal and strategic feature of large-scale retail operations</t>
  </si>
  <si>
    <t>Off-Balance-Sheet</t>
  </si>
  <si>
    <t>ASC 842 operating lease ROU assets and obligations are on-balance-sheet; no additional off-B/S items identified</t>
  </si>
  <si>
    <t>Du Pont Validation</t>
  </si>
  <si>
    <t>Du Pont ROA should closely match directly computed ROA (start-of-year). Small differences may arise from rounding or tax burden treatment.</t>
  </si>
  <si>
    <t>Color Coding</t>
  </si>
  <si>
    <t>Yellow = raw input (user-editable)  |  Blue = analyst assumption  |  Green = cross-sheet formula  |  Gray = computed output</t>
  </si>
  <si>
    <t>File Naming</t>
  </si>
  <si>
    <t>Follows course convention: lastname-first-stage2-model.xlsx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</si>
</sst>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#,##0.0"/>
    <numFmt numFmtId="166" formatCode="0.0%;\(0.0%\);\-"/>
    <numFmt numFmtId="167" formatCode="#,##0.0;\(#,##0.0\);\-"/>
    <numFmt numFmtId="168" formatCode="0.00\x"/>
    <numFmt numFmtId="169" formatCode="0.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444444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6E4F0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D6E4F0"/>
      </patternFill>
    </fill>
    <fill>
      <patternFill patternType="solid">
        <fgColor rgb="FFF2F7FC"/>
        <bgColor rgb="FFFFFFFF"/>
      </patternFill>
    </fill>
    <fill>
      <patternFill patternType="solid">
        <fgColor rgb="FFFFFFFF"/>
        <bgColor rgb="FFF2F7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6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right" vertical="center"/>
    </xf>
    <xf numFmtId="166" fontId="6" fillId="7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164" fontId="14" fillId="8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7" fontId="14" fillId="8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168" fontId="6" fillId="6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9" fontId="6" fillId="6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/>
    </xf>
    <xf numFmtId="0" fontId="13" fillId="1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38" customWidth="1"/>
    <col min="2" max="3" width="18" customWidth="1"/>
    <col min="4" max="4" width="20" customWidth="1"/>
  </cols>
  <sheetData>
    <row r="1" spans="1:4" ht="21.75" customHeight="1" x14ac:dyDescent="0.2">
      <c r="A1" s="5" t="s">
        <v>0</v>
      </c>
      <c r="B1" s="5"/>
      <c r="C1" s="5"/>
      <c r="D1" s="5"/>
    </row>
    <row r="2" spans="1:4" ht="15" customHeight="1" x14ac:dyDescent="0.2">
      <c r="A2" s="4" t="s">
        <v>1</v>
      </c>
      <c r="B2" s="4"/>
      <c r="C2" s="4"/>
      <c r="D2" s="4"/>
    </row>
    <row r="3" spans="1:4" ht="30" customHeight="1" x14ac:dyDescent="0.2">
      <c r="A3" s="6" t="s">
        <v>2</v>
      </c>
      <c r="B3" s="6" t="s">
        <v>3</v>
      </c>
      <c r="C3" s="6" t="s">
        <v>4</v>
      </c>
      <c r="D3" s="6" t="s">
        <v>5</v>
      </c>
    </row>
    <row r="4" spans="1:4" ht="15" customHeight="1" x14ac:dyDescent="0.2">
      <c r="A4" s="7" t="s">
        <v>6</v>
      </c>
      <c r="B4" s="8"/>
      <c r="C4" s="9"/>
      <c r="D4" s="10"/>
    </row>
    <row r="5" spans="1:4" ht="15" customHeight="1" x14ac:dyDescent="0.2">
      <c r="A5" s="7" t="s">
        <v>7</v>
      </c>
      <c r="B5" s="8"/>
      <c r="C5" s="9"/>
      <c r="D5" s="10"/>
    </row>
    <row r="6" spans="1:4" ht="15" customHeight="1" x14ac:dyDescent="0.2">
      <c r="A6" s="11" t="s">
        <v>8</v>
      </c>
      <c r="B6" s="12">
        <v>9300</v>
      </c>
      <c r="C6" s="13">
        <v>8625</v>
      </c>
      <c r="D6" s="10" t="s">
        <v>9</v>
      </c>
    </row>
    <row r="7" spans="1:4" ht="15" customHeight="1" x14ac:dyDescent="0.2">
      <c r="A7" s="11" t="s">
        <v>10</v>
      </c>
      <c r="B7" s="12">
        <v>8796</v>
      </c>
      <c r="C7" s="13">
        <v>7933</v>
      </c>
      <c r="D7" s="10" t="s">
        <v>9</v>
      </c>
    </row>
    <row r="8" spans="1:4" ht="15" customHeight="1" x14ac:dyDescent="0.2">
      <c r="A8" s="11" t="s">
        <v>11</v>
      </c>
      <c r="B8" s="12">
        <v>56435</v>
      </c>
      <c r="C8" s="13">
        <v>56576</v>
      </c>
      <c r="D8" s="10" t="s">
        <v>9</v>
      </c>
    </row>
    <row r="9" spans="1:4" ht="15" customHeight="1" x14ac:dyDescent="0.2">
      <c r="A9" s="11" t="s">
        <v>12</v>
      </c>
      <c r="B9" s="12">
        <v>2927</v>
      </c>
      <c r="C9" s="13">
        <v>2521</v>
      </c>
      <c r="D9" s="10" t="s">
        <v>9</v>
      </c>
    </row>
    <row r="10" spans="1:4" ht="15" customHeight="1" x14ac:dyDescent="0.2">
      <c r="A10" s="14" t="s">
        <v>13</v>
      </c>
      <c r="B10" s="15">
        <f>SUM(B6:B9)</f>
        <v>77458</v>
      </c>
      <c r="C10" s="15">
        <f>SUM(C6:C9)</f>
        <v>75655</v>
      </c>
      <c r="D10" s="10"/>
    </row>
    <row r="11" spans="1:4" ht="15" customHeight="1" x14ac:dyDescent="0.2">
      <c r="A11" s="7" t="s">
        <v>14</v>
      </c>
      <c r="B11" s="8"/>
      <c r="C11" s="9"/>
      <c r="D11" s="10"/>
    </row>
    <row r="12" spans="1:4" ht="15" customHeight="1" x14ac:dyDescent="0.2">
      <c r="A12" s="11" t="s">
        <v>15</v>
      </c>
      <c r="B12" s="12">
        <v>110810</v>
      </c>
      <c r="C12" s="13">
        <v>100760</v>
      </c>
      <c r="D12" s="10" t="s">
        <v>9</v>
      </c>
    </row>
    <row r="13" spans="1:4" ht="15" customHeight="1" x14ac:dyDescent="0.2">
      <c r="A13" s="11" t="s">
        <v>16</v>
      </c>
      <c r="B13" s="12">
        <v>13673</v>
      </c>
      <c r="C13" s="13">
        <v>13555</v>
      </c>
      <c r="D13" s="10" t="s">
        <v>9</v>
      </c>
    </row>
    <row r="14" spans="1:4" ht="15" customHeight="1" x14ac:dyDescent="0.2">
      <c r="A14" s="11" t="s">
        <v>17</v>
      </c>
      <c r="B14" s="12">
        <v>5855</v>
      </c>
      <c r="C14" s="13">
        <v>4919</v>
      </c>
      <c r="D14" s="10" t="s">
        <v>9</v>
      </c>
    </row>
    <row r="15" spans="1:4" ht="15" customHeight="1" x14ac:dyDescent="0.2">
      <c r="A15" s="11" t="s">
        <v>18</v>
      </c>
      <c r="B15" s="12">
        <v>28113</v>
      </c>
      <c r="C15" s="13">
        <v>28174</v>
      </c>
      <c r="D15" s="10" t="s">
        <v>9</v>
      </c>
    </row>
    <row r="16" spans="1:4" ht="15" customHeight="1" x14ac:dyDescent="0.2">
      <c r="A16" s="11" t="s">
        <v>19</v>
      </c>
      <c r="B16" s="12">
        <v>17071</v>
      </c>
      <c r="C16" s="13">
        <v>20134</v>
      </c>
      <c r="D16" s="10" t="s">
        <v>9</v>
      </c>
    </row>
    <row r="17" spans="1:4" ht="15" customHeight="1" x14ac:dyDescent="0.2">
      <c r="A17" s="14" t="s">
        <v>20</v>
      </c>
      <c r="B17" s="15">
        <f>SUM(B12:B16)</f>
        <v>175522</v>
      </c>
      <c r="C17" s="15">
        <f>SUM(C12:C16)</f>
        <v>167542</v>
      </c>
      <c r="D17" s="10"/>
    </row>
    <row r="18" spans="1:4" ht="15" customHeight="1" x14ac:dyDescent="0.2">
      <c r="A18" s="14" t="s">
        <v>21</v>
      </c>
      <c r="B18" s="15">
        <f>B10+B17</f>
        <v>252980</v>
      </c>
      <c r="C18" s="15">
        <f>C10+C17</f>
        <v>243197</v>
      </c>
      <c r="D18" s="10"/>
    </row>
    <row r="20" spans="1:4" ht="15" customHeight="1" x14ac:dyDescent="0.2">
      <c r="A20" s="7" t="s">
        <v>22</v>
      </c>
      <c r="B20" s="8"/>
      <c r="C20" s="9"/>
      <c r="D20" s="10"/>
    </row>
    <row r="21" spans="1:4" ht="15" customHeight="1" x14ac:dyDescent="0.2">
      <c r="A21" s="7" t="s">
        <v>23</v>
      </c>
      <c r="B21" s="8"/>
      <c r="C21" s="9"/>
      <c r="D21" s="10"/>
    </row>
    <row r="22" spans="1:4" ht="15" customHeight="1" x14ac:dyDescent="0.2">
      <c r="A22" s="11" t="s">
        <v>24</v>
      </c>
      <c r="B22" s="12">
        <v>878</v>
      </c>
      <c r="C22" s="13">
        <v>372</v>
      </c>
      <c r="D22" s="10" t="s">
        <v>9</v>
      </c>
    </row>
    <row r="23" spans="1:4" ht="15" customHeight="1" x14ac:dyDescent="0.2">
      <c r="A23" s="11" t="s">
        <v>25</v>
      </c>
      <c r="B23" s="12">
        <v>56812</v>
      </c>
      <c r="C23" s="13">
        <v>53742</v>
      </c>
      <c r="D23" s="10" t="s">
        <v>9</v>
      </c>
    </row>
    <row r="24" spans="1:4" ht="15" customHeight="1" x14ac:dyDescent="0.2">
      <c r="A24" s="11" t="s">
        <v>26</v>
      </c>
      <c r="B24" s="12">
        <v>28759</v>
      </c>
      <c r="C24" s="13">
        <v>31126</v>
      </c>
      <c r="D24" s="10" t="s">
        <v>9</v>
      </c>
    </row>
    <row r="25" spans="1:4" ht="15" customHeight="1" x14ac:dyDescent="0.2">
      <c r="A25" s="11" t="s">
        <v>27</v>
      </c>
      <c r="B25" s="12">
        <v>3447</v>
      </c>
      <c r="C25" s="13">
        <v>4191</v>
      </c>
      <c r="D25" s="10" t="s">
        <v>9</v>
      </c>
    </row>
    <row r="26" spans="1:4" ht="15" customHeight="1" x14ac:dyDescent="0.2">
      <c r="A26" s="11" t="s">
        <v>28</v>
      </c>
      <c r="B26" s="12">
        <v>1487</v>
      </c>
      <c r="C26" s="13">
        <v>1473</v>
      </c>
      <c r="D26" s="10" t="s">
        <v>9</v>
      </c>
    </row>
    <row r="27" spans="1:4" ht="15" customHeight="1" x14ac:dyDescent="0.2">
      <c r="A27" s="11" t="s">
        <v>29</v>
      </c>
      <c r="B27" s="12">
        <v>725</v>
      </c>
      <c r="C27" s="13">
        <v>567</v>
      </c>
      <c r="D27" s="10" t="s">
        <v>9</v>
      </c>
    </row>
    <row r="28" spans="1:4" ht="15" customHeight="1" x14ac:dyDescent="0.2">
      <c r="A28" s="11" t="s">
        <v>30</v>
      </c>
      <c r="B28" s="12">
        <v>307</v>
      </c>
      <c r="C28" s="13">
        <v>727</v>
      </c>
      <c r="D28" s="10" t="s">
        <v>9</v>
      </c>
    </row>
    <row r="29" spans="1:4" ht="15" customHeight="1" x14ac:dyDescent="0.2">
      <c r="A29" s="14" t="s">
        <v>31</v>
      </c>
      <c r="B29" s="15">
        <f>SUM(B22:B28)</f>
        <v>92415</v>
      </c>
      <c r="C29" s="15">
        <f>SUM(C22:C28)</f>
        <v>92198</v>
      </c>
      <c r="D29" s="10"/>
    </row>
    <row r="30" spans="1:4" ht="15" customHeight="1" x14ac:dyDescent="0.2">
      <c r="A30" s="7" t="s">
        <v>32</v>
      </c>
      <c r="B30" s="8"/>
      <c r="C30" s="9"/>
      <c r="D30" s="10"/>
    </row>
    <row r="31" spans="1:4" ht="15" customHeight="1" x14ac:dyDescent="0.2">
      <c r="A31" s="11" t="s">
        <v>33</v>
      </c>
      <c r="B31" s="12">
        <v>36132</v>
      </c>
      <c r="C31" s="13">
        <v>34649</v>
      </c>
      <c r="D31" s="10" t="s">
        <v>9</v>
      </c>
    </row>
    <row r="32" spans="1:4" ht="15" customHeight="1" x14ac:dyDescent="0.2">
      <c r="A32" s="11" t="s">
        <v>34</v>
      </c>
      <c r="B32" s="12">
        <v>12961</v>
      </c>
      <c r="C32" s="13">
        <v>13197</v>
      </c>
      <c r="D32" s="10" t="s">
        <v>9</v>
      </c>
    </row>
    <row r="33" spans="1:4" ht="15" customHeight="1" x14ac:dyDescent="0.2">
      <c r="A33" s="11" t="s">
        <v>35</v>
      </c>
      <c r="B33" s="12">
        <v>4838</v>
      </c>
      <c r="C33" s="13">
        <v>4001</v>
      </c>
      <c r="D33" s="10" t="s">
        <v>9</v>
      </c>
    </row>
    <row r="34" spans="1:4" ht="15" customHeight="1" x14ac:dyDescent="0.2">
      <c r="A34" s="11" t="s">
        <v>36</v>
      </c>
      <c r="B34" s="12">
        <v>14016</v>
      </c>
      <c r="C34" s="13">
        <v>13703</v>
      </c>
      <c r="D34" s="10" t="s">
        <v>9</v>
      </c>
    </row>
    <row r="35" spans="1:4" ht="15" customHeight="1" x14ac:dyDescent="0.2">
      <c r="A35" s="14" t="s">
        <v>37</v>
      </c>
      <c r="B35" s="15">
        <f>SUM(B31:B34)</f>
        <v>67947</v>
      </c>
      <c r="C35" s="15">
        <f>SUM(C31:C34)</f>
        <v>65550</v>
      </c>
      <c r="D35" s="10"/>
    </row>
    <row r="36" spans="1:4" ht="15" customHeight="1" x14ac:dyDescent="0.2">
      <c r="A36" s="14" t="s">
        <v>38</v>
      </c>
      <c r="B36" s="15">
        <f>B29+B35</f>
        <v>160362</v>
      </c>
      <c r="C36" s="15">
        <f>C29+C35</f>
        <v>157748</v>
      </c>
      <c r="D36" s="10"/>
    </row>
    <row r="38" spans="1:4" ht="15" customHeight="1" x14ac:dyDescent="0.2">
      <c r="A38" s="7" t="s">
        <v>39</v>
      </c>
      <c r="B38" s="8"/>
      <c r="C38" s="9"/>
      <c r="D38" s="10"/>
    </row>
    <row r="39" spans="1:4" ht="15" customHeight="1" x14ac:dyDescent="0.2">
      <c r="A39" s="11" t="s">
        <v>40</v>
      </c>
      <c r="B39" s="12">
        <v>805</v>
      </c>
      <c r="C39" s="13">
        <v>808</v>
      </c>
      <c r="D39" s="10" t="s">
        <v>9</v>
      </c>
    </row>
    <row r="40" spans="1:4" ht="15" customHeight="1" x14ac:dyDescent="0.2">
      <c r="A40" s="11" t="s">
        <v>41</v>
      </c>
      <c r="B40" s="12">
        <v>4544</v>
      </c>
      <c r="C40" s="13">
        <v>4430</v>
      </c>
      <c r="D40" s="10" t="s">
        <v>9</v>
      </c>
    </row>
    <row r="41" spans="1:4" ht="15" customHeight="1" x14ac:dyDescent="0.2">
      <c r="A41" s="11" t="s">
        <v>42</v>
      </c>
      <c r="B41" s="12">
        <v>89814</v>
      </c>
      <c r="C41" s="13">
        <v>83135</v>
      </c>
      <c r="D41" s="10" t="s">
        <v>9</v>
      </c>
    </row>
    <row r="42" spans="1:4" ht="15" customHeight="1" x14ac:dyDescent="0.2">
      <c r="A42" s="11" t="s">
        <v>43</v>
      </c>
      <c r="B42" s="12">
        <v>-11302</v>
      </c>
      <c r="C42" s="13">
        <v>-11680</v>
      </c>
      <c r="D42" s="10" t="s">
        <v>9</v>
      </c>
    </row>
    <row r="43" spans="1:4" ht="15" customHeight="1" x14ac:dyDescent="0.2">
      <c r="A43" s="14" t="s">
        <v>44</v>
      </c>
      <c r="B43" s="15">
        <f>SUM(B39:B42)</f>
        <v>83861</v>
      </c>
      <c r="C43" s="15">
        <f>SUM(C39:C42)</f>
        <v>76693</v>
      </c>
      <c r="D43" s="10"/>
    </row>
    <row r="44" spans="1:4" ht="15" customHeight="1" x14ac:dyDescent="0.2">
      <c r="A44" s="11" t="s">
        <v>45</v>
      </c>
      <c r="B44" s="12">
        <v>6488</v>
      </c>
      <c r="C44" s="13">
        <v>7061</v>
      </c>
      <c r="D44" s="10" t="s">
        <v>9</v>
      </c>
    </row>
    <row r="45" spans="1:4" ht="15" customHeight="1" x14ac:dyDescent="0.2">
      <c r="A45" s="14" t="s">
        <v>46</v>
      </c>
      <c r="B45" s="15">
        <f>B43+B44</f>
        <v>90349</v>
      </c>
      <c r="C45" s="15">
        <f>C43+C44</f>
        <v>83754</v>
      </c>
      <c r="D45" s="10"/>
    </row>
    <row r="46" spans="1:4" ht="15" customHeight="1" x14ac:dyDescent="0.2">
      <c r="A46" s="14" t="s">
        <v>47</v>
      </c>
      <c r="B46" s="15">
        <f>B36+B45</f>
        <v>250711</v>
      </c>
      <c r="C46" s="15">
        <f>C36+C45</f>
        <v>241502</v>
      </c>
      <c r="D46" s="10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38" customWidth="1"/>
    <col min="2" max="3" width="18" customWidth="1"/>
    <col min="4" max="4" width="20" customWidth="1"/>
  </cols>
  <sheetData>
    <row r="1" spans="1:4" ht="21.75" customHeight="1" x14ac:dyDescent="0.2">
      <c r="A1" s="5" t="s">
        <v>48</v>
      </c>
      <c r="B1" s="5"/>
      <c r="C1" s="5"/>
      <c r="D1" s="5"/>
    </row>
    <row r="2" spans="1:4" ht="15" customHeight="1" x14ac:dyDescent="0.2">
      <c r="A2" s="4" t="s">
        <v>1</v>
      </c>
      <c r="B2" s="4"/>
      <c r="C2" s="4"/>
      <c r="D2" s="4"/>
    </row>
    <row r="3" spans="1:4" ht="30" customHeight="1" x14ac:dyDescent="0.2">
      <c r="A3" s="6" t="s">
        <v>2</v>
      </c>
      <c r="B3" s="6" t="s">
        <v>3</v>
      </c>
      <c r="C3" s="6" t="s">
        <v>4</v>
      </c>
      <c r="D3" s="6" t="s">
        <v>5</v>
      </c>
    </row>
    <row r="4" spans="1:4" ht="15" customHeight="1" x14ac:dyDescent="0.2">
      <c r="A4" s="7" t="s">
        <v>49</v>
      </c>
      <c r="B4" s="8"/>
      <c r="C4" s="16"/>
      <c r="D4" s="10"/>
    </row>
    <row r="5" spans="1:4" ht="15" customHeight="1" x14ac:dyDescent="0.2">
      <c r="A5" s="11" t="s">
        <v>50</v>
      </c>
      <c r="B5" s="12">
        <v>680985</v>
      </c>
      <c r="C5" s="17">
        <v>648125</v>
      </c>
      <c r="D5" s="10" t="s">
        <v>51</v>
      </c>
    </row>
    <row r="6" spans="1:4" ht="15" customHeight="1" x14ac:dyDescent="0.2">
      <c r="A6" s="11" t="s">
        <v>52</v>
      </c>
      <c r="B6" s="12">
        <v>4448</v>
      </c>
      <c r="C6" s="17">
        <v>4255</v>
      </c>
      <c r="D6" s="10" t="s">
        <v>51</v>
      </c>
    </row>
    <row r="7" spans="1:4" ht="15" customHeight="1" x14ac:dyDescent="0.2">
      <c r="A7" s="14" t="s">
        <v>53</v>
      </c>
      <c r="B7" s="18">
        <f>B5+B6</f>
        <v>685433</v>
      </c>
      <c r="C7" s="18">
        <f>C5+C6</f>
        <v>652380</v>
      </c>
      <c r="D7" s="10"/>
    </row>
    <row r="8" spans="1:4" ht="15" customHeight="1" x14ac:dyDescent="0.2">
      <c r="A8" s="7" t="s">
        <v>54</v>
      </c>
      <c r="B8" s="8"/>
      <c r="C8" s="16"/>
      <c r="D8" s="10"/>
    </row>
    <row r="9" spans="1:4" ht="15" customHeight="1" x14ac:dyDescent="0.2">
      <c r="A9" s="11" t="s">
        <v>55</v>
      </c>
      <c r="B9" s="12">
        <v>511753</v>
      </c>
      <c r="C9" s="17">
        <v>490142</v>
      </c>
      <c r="D9" s="10" t="s">
        <v>51</v>
      </c>
    </row>
    <row r="10" spans="1:4" ht="15" customHeight="1" x14ac:dyDescent="0.2">
      <c r="A10" s="14" t="s">
        <v>56</v>
      </c>
      <c r="B10" s="18">
        <f>B5-B9</f>
        <v>169232</v>
      </c>
      <c r="C10" s="18">
        <f>C5-C9</f>
        <v>157983</v>
      </c>
      <c r="D10" s="10"/>
    </row>
    <row r="11" spans="1:4" ht="15" customHeight="1" x14ac:dyDescent="0.2">
      <c r="A11" s="11" t="s">
        <v>57</v>
      </c>
      <c r="B11" s="12">
        <v>139884</v>
      </c>
      <c r="C11" s="17">
        <v>130971</v>
      </c>
      <c r="D11" s="10" t="s">
        <v>51</v>
      </c>
    </row>
    <row r="12" spans="1:4" ht="15" customHeight="1" x14ac:dyDescent="0.2">
      <c r="A12" s="11" t="s">
        <v>58</v>
      </c>
      <c r="B12" s="12">
        <v>12978</v>
      </c>
      <c r="C12" s="17">
        <v>11853</v>
      </c>
      <c r="D12" s="10" t="s">
        <v>59</v>
      </c>
    </row>
    <row r="13" spans="1:4" ht="15" customHeight="1" x14ac:dyDescent="0.2">
      <c r="A13" s="14" t="s">
        <v>60</v>
      </c>
      <c r="B13" s="18">
        <f>B10-B11</f>
        <v>29348</v>
      </c>
      <c r="C13" s="18">
        <f>C10-C11</f>
        <v>27012</v>
      </c>
      <c r="D13" s="10"/>
    </row>
    <row r="14" spans="1:4" ht="15" customHeight="1" x14ac:dyDescent="0.2">
      <c r="A14" s="11" t="s">
        <v>61</v>
      </c>
      <c r="B14" s="12">
        <v>483</v>
      </c>
      <c r="C14" s="17">
        <v>546</v>
      </c>
      <c r="D14" s="10" t="s">
        <v>51</v>
      </c>
    </row>
    <row r="15" spans="1:4" ht="15" customHeight="1" x14ac:dyDescent="0.2">
      <c r="A15" s="11" t="s">
        <v>62</v>
      </c>
      <c r="B15" s="12">
        <v>-2728</v>
      </c>
      <c r="C15" s="17">
        <v>-2683</v>
      </c>
      <c r="D15" s="10" t="s">
        <v>51</v>
      </c>
    </row>
    <row r="16" spans="1:4" ht="15" customHeight="1" x14ac:dyDescent="0.2">
      <c r="A16" s="11" t="s">
        <v>63</v>
      </c>
      <c r="B16" s="12">
        <v>-794</v>
      </c>
      <c r="C16" s="17">
        <v>-3027</v>
      </c>
      <c r="D16" s="10" t="s">
        <v>51</v>
      </c>
    </row>
    <row r="17" spans="1:4" ht="15" customHeight="1" x14ac:dyDescent="0.2">
      <c r="A17" s="14" t="s">
        <v>64</v>
      </c>
      <c r="B17" s="18">
        <f>B13+B14+B15+B16</f>
        <v>26309</v>
      </c>
      <c r="C17" s="18">
        <f>C13+C14+C15+C16</f>
        <v>21848</v>
      </c>
      <c r="D17" s="10"/>
    </row>
    <row r="18" spans="1:4" ht="15" customHeight="1" x14ac:dyDescent="0.2">
      <c r="A18" s="11" t="s">
        <v>65</v>
      </c>
      <c r="B18" s="12">
        <v>6152</v>
      </c>
      <c r="C18" s="17">
        <v>5578</v>
      </c>
      <c r="D18" s="10" t="s">
        <v>51</v>
      </c>
    </row>
    <row r="19" spans="1:4" ht="15" customHeight="1" x14ac:dyDescent="0.2">
      <c r="A19" s="14" t="s">
        <v>66</v>
      </c>
      <c r="B19" s="18">
        <f>B17-B18</f>
        <v>20157</v>
      </c>
      <c r="C19" s="18">
        <f>C17-C18</f>
        <v>16270</v>
      </c>
      <c r="D19" s="10"/>
    </row>
    <row r="20" spans="1:4" ht="15" customHeight="1" x14ac:dyDescent="0.2">
      <c r="A20" s="11" t="s">
        <v>67</v>
      </c>
      <c r="B20" s="12">
        <v>721</v>
      </c>
      <c r="C20" s="17">
        <v>759</v>
      </c>
      <c r="D20" s="10" t="s">
        <v>51</v>
      </c>
    </row>
    <row r="21" spans="1:4" ht="15" customHeight="1" x14ac:dyDescent="0.2">
      <c r="A21" s="14" t="s">
        <v>68</v>
      </c>
      <c r="B21" s="18">
        <f>B19-B20</f>
        <v>19436</v>
      </c>
      <c r="C21" s="18">
        <f>C19-C20</f>
        <v>15511</v>
      </c>
      <c r="D21" s="10"/>
    </row>
    <row r="22" spans="1:4" ht="21.75" customHeight="1" x14ac:dyDescent="0.2">
      <c r="A22" s="11" t="s">
        <v>69</v>
      </c>
      <c r="B22" s="12">
        <v>6640</v>
      </c>
      <c r="C22" s="17">
        <v>6140</v>
      </c>
      <c r="D22" s="10" t="s">
        <v>70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38" customWidth="1"/>
    <col min="2" max="3" width="18" customWidth="1"/>
    <col min="4" max="4" width="20" customWidth="1"/>
  </cols>
  <sheetData>
    <row r="1" spans="1:4" ht="21.75" customHeight="1" x14ac:dyDescent="0.2">
      <c r="A1" s="5" t="s">
        <v>71</v>
      </c>
      <c r="B1" s="5"/>
      <c r="C1" s="5"/>
      <c r="D1" s="5"/>
    </row>
    <row r="2" spans="1:4" ht="15" customHeight="1" x14ac:dyDescent="0.2">
      <c r="A2" s="4" t="s">
        <v>1</v>
      </c>
      <c r="B2" s="4"/>
      <c r="C2" s="4"/>
      <c r="D2" s="4"/>
    </row>
    <row r="3" spans="1:4" ht="24.75" customHeight="1" x14ac:dyDescent="0.2">
      <c r="A3" s="6" t="s">
        <v>2</v>
      </c>
      <c r="B3" s="6" t="s">
        <v>72</v>
      </c>
      <c r="C3" s="6" t="s">
        <v>73</v>
      </c>
      <c r="D3" s="6" t="s">
        <v>74</v>
      </c>
    </row>
    <row r="4" spans="1:4" ht="15" customHeight="1" x14ac:dyDescent="0.2">
      <c r="A4" s="7" t="s">
        <v>75</v>
      </c>
      <c r="B4" s="19"/>
      <c r="C4" s="20"/>
      <c r="D4" s="10"/>
    </row>
    <row r="5" spans="1:4" ht="15" customHeight="1" x14ac:dyDescent="0.2">
      <c r="A5" s="11" t="s">
        <v>76</v>
      </c>
      <c r="B5" s="12">
        <v>19436</v>
      </c>
      <c r="C5" s="17">
        <v>16270</v>
      </c>
      <c r="D5" s="10" t="s">
        <v>59</v>
      </c>
    </row>
    <row r="6" spans="1:4" ht="15" customHeight="1" x14ac:dyDescent="0.2">
      <c r="A6" s="11" t="s">
        <v>77</v>
      </c>
      <c r="B6" s="12">
        <v>12978</v>
      </c>
      <c r="C6" s="17">
        <v>11853</v>
      </c>
      <c r="D6" s="10" t="s">
        <v>59</v>
      </c>
    </row>
    <row r="7" spans="1:4" ht="15" customHeight="1" x14ac:dyDescent="0.2">
      <c r="A7" s="11" t="s">
        <v>78</v>
      </c>
      <c r="B7" s="12">
        <v>794</v>
      </c>
      <c r="C7" s="17">
        <v>3193</v>
      </c>
      <c r="D7" s="10" t="s">
        <v>59</v>
      </c>
    </row>
    <row r="8" spans="1:4" ht="15" customHeight="1" x14ac:dyDescent="0.2">
      <c r="A8" s="11" t="s">
        <v>79</v>
      </c>
      <c r="B8" s="12">
        <v>-697</v>
      </c>
      <c r="C8" s="17">
        <v>-175</v>
      </c>
      <c r="D8" s="10" t="s">
        <v>59</v>
      </c>
    </row>
    <row r="9" spans="1:4" ht="15" customHeight="1" x14ac:dyDescent="0.2">
      <c r="A9" s="11" t="s">
        <v>80</v>
      </c>
      <c r="B9" s="12">
        <v>1842</v>
      </c>
      <c r="C9" s="17">
        <v>2642</v>
      </c>
      <c r="D9" s="10" t="s">
        <v>59</v>
      </c>
    </row>
    <row r="10" spans="1:4" ht="15" customHeight="1" x14ac:dyDescent="0.2">
      <c r="A10" s="11" t="s">
        <v>81</v>
      </c>
      <c r="B10" s="12">
        <v>2047</v>
      </c>
      <c r="C10" s="17">
        <v>1993</v>
      </c>
      <c r="D10" s="10" t="s">
        <v>59</v>
      </c>
    </row>
    <row r="11" spans="1:4" ht="15" customHeight="1" x14ac:dyDescent="0.2">
      <c r="A11" s="14" t="s">
        <v>82</v>
      </c>
      <c r="B11" s="15">
        <v>36400</v>
      </c>
      <c r="C11" s="15">
        <v>35726</v>
      </c>
      <c r="D11" s="10" t="s">
        <v>59</v>
      </c>
    </row>
    <row r="12" spans="1:4" ht="15" customHeight="1" x14ac:dyDescent="0.2">
      <c r="A12" s="7" t="s">
        <v>83</v>
      </c>
      <c r="B12" s="19"/>
      <c r="C12" s="20"/>
      <c r="D12" s="10"/>
    </row>
    <row r="13" spans="1:4" ht="15" customHeight="1" x14ac:dyDescent="0.2">
      <c r="A13" s="11" t="s">
        <v>84</v>
      </c>
      <c r="B13" s="12">
        <v>-23740</v>
      </c>
      <c r="C13" s="17">
        <v>-20606</v>
      </c>
      <c r="D13" s="10" t="s">
        <v>59</v>
      </c>
    </row>
    <row r="14" spans="1:4" ht="15" customHeight="1" x14ac:dyDescent="0.2">
      <c r="A14" s="11" t="s">
        <v>85</v>
      </c>
      <c r="B14" s="12">
        <v>348</v>
      </c>
      <c r="C14" s="17">
        <v>250</v>
      </c>
      <c r="D14" s="10" t="s">
        <v>59</v>
      </c>
    </row>
    <row r="15" spans="1:4" ht="15" customHeight="1" x14ac:dyDescent="0.2">
      <c r="A15" s="11" t="s">
        <v>86</v>
      </c>
      <c r="B15" s="12">
        <v>-2109</v>
      </c>
      <c r="C15" s="17">
        <v>-1066</v>
      </c>
      <c r="D15" s="10" t="s">
        <v>59</v>
      </c>
    </row>
    <row r="16" spans="1:4" ht="15" customHeight="1" x14ac:dyDescent="0.2">
      <c r="A16" s="14" t="s">
        <v>87</v>
      </c>
      <c r="B16" s="15">
        <v>-25501</v>
      </c>
      <c r="C16" s="15">
        <v>-21287</v>
      </c>
      <c r="D16" s="10" t="s">
        <v>59</v>
      </c>
    </row>
    <row r="17" spans="1:4" ht="15" customHeight="1" x14ac:dyDescent="0.2">
      <c r="A17" s="7" t="s">
        <v>88</v>
      </c>
      <c r="B17" s="19"/>
      <c r="C17" s="20"/>
      <c r="D17" s="10"/>
    </row>
    <row r="18" spans="1:4" ht="15" customHeight="1" x14ac:dyDescent="0.2">
      <c r="A18" s="11" t="s">
        <v>89</v>
      </c>
      <c r="B18" s="12">
        <v>506</v>
      </c>
      <c r="C18" s="17">
        <v>512</v>
      </c>
      <c r="D18" s="10" t="s">
        <v>59</v>
      </c>
    </row>
    <row r="19" spans="1:4" ht="15" customHeight="1" x14ac:dyDescent="0.2">
      <c r="A19" s="11" t="s">
        <v>90</v>
      </c>
      <c r="B19" s="12">
        <v>4977</v>
      </c>
      <c r="C19" s="17">
        <v>4967</v>
      </c>
      <c r="D19" s="10" t="s">
        <v>59</v>
      </c>
    </row>
    <row r="20" spans="1:4" ht="15" customHeight="1" x14ac:dyDescent="0.2">
      <c r="A20" s="11" t="s">
        <v>91</v>
      </c>
      <c r="B20" s="12">
        <v>-4527</v>
      </c>
      <c r="C20" s="17">
        <v>-4217</v>
      </c>
      <c r="D20" s="10" t="s">
        <v>59</v>
      </c>
    </row>
    <row r="21" spans="1:4" ht="15" customHeight="1" x14ac:dyDescent="0.2">
      <c r="A21" s="11" t="s">
        <v>69</v>
      </c>
      <c r="B21" s="12">
        <v>-6640</v>
      </c>
      <c r="C21" s="17">
        <v>-6140</v>
      </c>
      <c r="D21" s="10" t="s">
        <v>59</v>
      </c>
    </row>
    <row r="22" spans="1:4" ht="15" customHeight="1" x14ac:dyDescent="0.2">
      <c r="A22" s="11" t="s">
        <v>92</v>
      </c>
      <c r="B22" s="12">
        <v>-4488</v>
      </c>
      <c r="C22" s="17">
        <v>-2779</v>
      </c>
      <c r="D22" s="10" t="s">
        <v>59</v>
      </c>
    </row>
    <row r="23" spans="1:4" ht="15" customHeight="1" x14ac:dyDescent="0.2">
      <c r="A23" s="11" t="s">
        <v>93</v>
      </c>
      <c r="B23" s="12">
        <v>-1432</v>
      </c>
      <c r="C23" s="17">
        <v>-828</v>
      </c>
      <c r="D23" s="10" t="s">
        <v>59</v>
      </c>
    </row>
    <row r="24" spans="1:4" ht="15" customHeight="1" x14ac:dyDescent="0.2">
      <c r="A24" s="14" t="s">
        <v>94</v>
      </c>
      <c r="B24" s="15">
        <v>-11604</v>
      </c>
      <c r="C24" s="15">
        <v>-8485</v>
      </c>
      <c r="D24" s="10" t="s">
        <v>59</v>
      </c>
    </row>
    <row r="26" spans="1:4" ht="15" customHeight="1" x14ac:dyDescent="0.2">
      <c r="A26" s="14" t="s">
        <v>95</v>
      </c>
      <c r="B26" s="18">
        <f>B11+B13</f>
        <v>12660</v>
      </c>
      <c r="C26" s="18">
        <f>C11+C13</f>
        <v>15120</v>
      </c>
      <c r="D26" s="10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zoomScaleNormal="100" workbookViewId="0">
      <pane ySplit="3" topLeftCell="A4" activePane="bottomLeft" state="frozen"/>
      <selection pane="bottomLeft" sqref="A1:E1"/>
    </sheetView>
  </sheetViews>
  <sheetFormatPr baseColWidth="10" defaultColWidth="8.6640625" defaultRowHeight="15" x14ac:dyDescent="0.2"/>
  <cols>
    <col min="1" max="1" width="30" customWidth="1"/>
    <col min="2" max="2" width="22" customWidth="1"/>
    <col min="3" max="3" width="16" customWidth="1"/>
    <col min="4" max="4" width="36" customWidth="1"/>
    <col min="5" max="5" width="22" customWidth="1"/>
  </cols>
  <sheetData>
    <row r="1" spans="1:5" ht="24" customHeight="1" x14ac:dyDescent="0.2">
      <c r="A1" s="5" t="s">
        <v>96</v>
      </c>
      <c r="B1" s="5"/>
      <c r="C1" s="5"/>
      <c r="D1" s="5"/>
      <c r="E1" s="5"/>
    </row>
    <row r="2" spans="1:5" ht="15" customHeight="1" x14ac:dyDescent="0.2">
      <c r="A2" s="3" t="s">
        <v>97</v>
      </c>
      <c r="B2" s="3"/>
      <c r="C2" s="3"/>
      <c r="D2" s="3"/>
      <c r="E2" s="3"/>
    </row>
    <row r="3" spans="1:5" ht="15" customHeight="1" x14ac:dyDescent="0.2">
      <c r="A3" s="21" t="s">
        <v>98</v>
      </c>
      <c r="B3" s="22" t="s">
        <v>99</v>
      </c>
      <c r="C3" s="22" t="s">
        <v>100</v>
      </c>
      <c r="D3" s="22" t="s">
        <v>101</v>
      </c>
      <c r="E3" s="22" t="s">
        <v>74</v>
      </c>
    </row>
    <row r="4" spans="1:5" ht="18" customHeight="1" x14ac:dyDescent="0.2">
      <c r="A4" s="2" t="s">
        <v>102</v>
      </c>
      <c r="B4" s="2"/>
      <c r="C4" s="2"/>
      <c r="D4" s="2"/>
      <c r="E4" s="2"/>
    </row>
    <row r="5" spans="1:5" ht="15" customHeight="1" x14ac:dyDescent="0.2">
      <c r="A5" s="11" t="s">
        <v>103</v>
      </c>
      <c r="B5" s="23" t="s">
        <v>104</v>
      </c>
      <c r="C5" s="24">
        <v>95.28</v>
      </c>
      <c r="D5" s="25" t="s">
        <v>105</v>
      </c>
    </row>
    <row r="6" spans="1:5" ht="15" customHeight="1" x14ac:dyDescent="0.2">
      <c r="A6" s="11" t="s">
        <v>106</v>
      </c>
      <c r="B6" s="23" t="s">
        <v>107</v>
      </c>
      <c r="C6" s="26">
        <v>8081</v>
      </c>
      <c r="D6" s="25" t="s">
        <v>108</v>
      </c>
    </row>
    <row r="7" spans="1:5" ht="15" customHeight="1" x14ac:dyDescent="0.2">
      <c r="A7" s="11" t="s">
        <v>109</v>
      </c>
      <c r="B7" s="23" t="s">
        <v>110</v>
      </c>
      <c r="C7" s="27">
        <v>7.5999999999999998E-2</v>
      </c>
      <c r="D7" s="25" t="s">
        <v>111</v>
      </c>
    </row>
    <row r="8" spans="1:5" ht="15" customHeight="1" x14ac:dyDescent="0.2">
      <c r="A8" s="11" t="s">
        <v>112</v>
      </c>
      <c r="B8" s="23" t="s">
        <v>113</v>
      </c>
      <c r="C8" s="27">
        <v>0.23380000000000001</v>
      </c>
      <c r="D8" s="25" t="s">
        <v>114</v>
      </c>
    </row>
    <row r="9" spans="1:5" ht="18" customHeight="1" x14ac:dyDescent="0.2">
      <c r="A9" s="2" t="s">
        <v>115</v>
      </c>
      <c r="B9" s="2"/>
      <c r="C9" s="2"/>
      <c r="D9" s="2"/>
      <c r="E9" s="2"/>
    </row>
    <row r="10" spans="1:5" ht="15" customHeight="1" x14ac:dyDescent="0.2">
      <c r="A10" s="28" t="s">
        <v>116</v>
      </c>
      <c r="B10" s="29" t="s">
        <v>117</v>
      </c>
      <c r="C10" s="30">
        <f>C5*C6</f>
        <v>769957.68</v>
      </c>
      <c r="D10" s="31" t="s">
        <v>118</v>
      </c>
      <c r="E10" s="32" t="s">
        <v>119</v>
      </c>
    </row>
    <row r="11" spans="1:5" ht="15" customHeight="1" x14ac:dyDescent="0.2">
      <c r="A11" s="28" t="s">
        <v>120</v>
      </c>
      <c r="B11" s="29" t="s">
        <v>121</v>
      </c>
      <c r="C11" s="30">
        <f>'Income Statement'!B13*(1-C8)</f>
        <v>22486.437600000001</v>
      </c>
      <c r="D11" s="31" t="s">
        <v>122</v>
      </c>
      <c r="E11" s="32" t="s">
        <v>123</v>
      </c>
    </row>
    <row r="12" spans="1:5" ht="15" customHeight="1" x14ac:dyDescent="0.2">
      <c r="A12" s="28" t="s">
        <v>124</v>
      </c>
      <c r="B12" s="29" t="s">
        <v>125</v>
      </c>
      <c r="C12" s="33">
        <f>'Income Statement'!B5/365</f>
        <v>1865.7123287671234</v>
      </c>
      <c r="D12" s="31" t="s">
        <v>126</v>
      </c>
      <c r="E12" s="32" t="s">
        <v>127</v>
      </c>
    </row>
    <row r="13" spans="1:5" ht="15" customHeight="1" x14ac:dyDescent="0.2">
      <c r="A13" s="28" t="s">
        <v>128</v>
      </c>
      <c r="B13" s="29" t="s">
        <v>129</v>
      </c>
      <c r="C13" s="30">
        <f>'Balance Sheet'!B10-'Balance Sheet'!B29</f>
        <v>-14957</v>
      </c>
      <c r="D13" s="31" t="s">
        <v>130</v>
      </c>
      <c r="E13" s="32" t="s">
        <v>131</v>
      </c>
    </row>
    <row r="14" spans="1:5" ht="18" customHeight="1" x14ac:dyDescent="0.2">
      <c r="A14" s="2" t="s">
        <v>132</v>
      </c>
      <c r="B14" s="2"/>
      <c r="C14" s="2"/>
      <c r="D14" s="2"/>
      <c r="E14" s="2"/>
    </row>
    <row r="15" spans="1:5" ht="15" customHeight="1" x14ac:dyDescent="0.2">
      <c r="A15" s="11" t="s">
        <v>133</v>
      </c>
      <c r="B15" s="23" t="s">
        <v>134</v>
      </c>
      <c r="C15" s="30">
        <f>'Balance Sheet'!C43</f>
        <v>76693</v>
      </c>
      <c r="D15" s="25" t="s">
        <v>135</v>
      </c>
    </row>
    <row r="16" spans="1:5" ht="15" customHeight="1" x14ac:dyDescent="0.2">
      <c r="A16" s="11" t="s">
        <v>136</v>
      </c>
      <c r="B16" s="23" t="s">
        <v>137</v>
      </c>
      <c r="C16" s="30">
        <f>'Balance Sheet'!C8</f>
        <v>56576</v>
      </c>
      <c r="D16" s="25" t="s">
        <v>138</v>
      </c>
    </row>
    <row r="17" spans="1:5" ht="15" customHeight="1" x14ac:dyDescent="0.2">
      <c r="A17" s="11" t="s">
        <v>139</v>
      </c>
      <c r="B17" s="23" t="s">
        <v>140</v>
      </c>
      <c r="C17" s="30">
        <f>'Balance Sheet'!C7</f>
        <v>7933</v>
      </c>
      <c r="D17" s="25" t="s">
        <v>141</v>
      </c>
    </row>
    <row r="18" spans="1:5" ht="15" customHeight="1" x14ac:dyDescent="0.2">
      <c r="A18" s="11" t="s">
        <v>142</v>
      </c>
      <c r="B18" s="23" t="s">
        <v>143</v>
      </c>
      <c r="C18" s="30">
        <f>'Balance Sheet'!C18</f>
        <v>243197</v>
      </c>
      <c r="D18" s="25" t="s">
        <v>144</v>
      </c>
    </row>
    <row r="19" spans="1:5" ht="15" customHeight="1" x14ac:dyDescent="0.2">
      <c r="A19" s="11" t="s">
        <v>145</v>
      </c>
      <c r="B19" s="23" t="s">
        <v>146</v>
      </c>
      <c r="C19" s="30">
        <f>'Balance Sheet'!C31</f>
        <v>34649</v>
      </c>
      <c r="D19" s="25" t="s">
        <v>147</v>
      </c>
    </row>
    <row r="20" spans="1:5" ht="15" customHeight="1" x14ac:dyDescent="0.2">
      <c r="A20" s="11" t="s">
        <v>148</v>
      </c>
      <c r="B20" s="23" t="s">
        <v>149</v>
      </c>
      <c r="C20" s="30">
        <f>C19+C15</f>
        <v>111342</v>
      </c>
      <c r="D20" s="25" t="s">
        <v>150</v>
      </c>
    </row>
    <row r="21" spans="1:5" ht="18" customHeight="1" x14ac:dyDescent="0.2">
      <c r="A21" s="2" t="s">
        <v>151</v>
      </c>
      <c r="B21" s="2"/>
      <c r="C21" s="2"/>
      <c r="D21" s="2"/>
      <c r="E21" s="2"/>
    </row>
    <row r="22" spans="1:5" ht="15" customHeight="1" x14ac:dyDescent="0.2">
      <c r="A22" s="11" t="s">
        <v>152</v>
      </c>
      <c r="B22" s="23" t="s">
        <v>153</v>
      </c>
      <c r="C22" s="30">
        <f>'Balance Sheet'!B43</f>
        <v>83861</v>
      </c>
      <c r="D22" s="25"/>
    </row>
    <row r="23" spans="1:5" ht="15" customHeight="1" x14ac:dyDescent="0.2">
      <c r="A23" s="11" t="s">
        <v>154</v>
      </c>
      <c r="B23" s="23" t="s">
        <v>155</v>
      </c>
      <c r="C23" s="30">
        <f>'Balance Sheet'!B18</f>
        <v>252980</v>
      </c>
      <c r="D23" s="25"/>
    </row>
    <row r="24" spans="1:5" ht="15" customHeight="1" x14ac:dyDescent="0.2">
      <c r="A24" s="11" t="s">
        <v>156</v>
      </c>
      <c r="B24" s="23" t="s">
        <v>157</v>
      </c>
      <c r="C24" s="30">
        <f>'Balance Sheet'!B31</f>
        <v>36132</v>
      </c>
      <c r="D24" s="25"/>
    </row>
    <row r="25" spans="1:5" ht="15" customHeight="1" x14ac:dyDescent="0.2">
      <c r="A25" s="11" t="s">
        <v>158</v>
      </c>
      <c r="B25" s="23" t="s">
        <v>159</v>
      </c>
      <c r="C25" s="30">
        <f>'Balance Sheet'!B29</f>
        <v>92415</v>
      </c>
      <c r="D25" s="25"/>
    </row>
    <row r="26" spans="1:5" ht="15" customHeight="1" x14ac:dyDescent="0.2">
      <c r="A26" s="11" t="s">
        <v>160</v>
      </c>
      <c r="B26" s="23" t="s">
        <v>161</v>
      </c>
      <c r="C26" s="30">
        <f>'Balance Sheet'!B10</f>
        <v>77458</v>
      </c>
      <c r="D26" s="25"/>
    </row>
    <row r="27" spans="1:5" ht="15" customHeight="1" x14ac:dyDescent="0.2">
      <c r="A27" s="11" t="s">
        <v>162</v>
      </c>
      <c r="B27" s="23" t="s">
        <v>163</v>
      </c>
      <c r="C27" s="30">
        <f>'Balance Sheet'!B6</f>
        <v>9300</v>
      </c>
      <c r="D27" s="25"/>
    </row>
    <row r="28" spans="1:5" ht="15" customHeight="1" x14ac:dyDescent="0.2">
      <c r="A28" s="11" t="s">
        <v>164</v>
      </c>
      <c r="B28" s="23" t="s">
        <v>165</v>
      </c>
      <c r="C28" s="30">
        <f>C24+C22</f>
        <v>119993</v>
      </c>
      <c r="D28" s="25"/>
    </row>
    <row r="29" spans="1:5" ht="18" customHeight="1" x14ac:dyDescent="0.2">
      <c r="A29" s="2" t="s">
        <v>166</v>
      </c>
      <c r="B29" s="2"/>
      <c r="C29" s="2"/>
      <c r="D29" s="2"/>
      <c r="E29" s="2"/>
    </row>
    <row r="30" spans="1:5" ht="15" customHeight="1" x14ac:dyDescent="0.2">
      <c r="A30" s="11" t="s">
        <v>167</v>
      </c>
      <c r="B30" s="23" t="s">
        <v>168</v>
      </c>
      <c r="C30" s="30">
        <f>AVERAGE(C15,C22)</f>
        <v>80277</v>
      </c>
      <c r="D30" s="25"/>
    </row>
    <row r="31" spans="1:5" ht="15" customHeight="1" x14ac:dyDescent="0.2">
      <c r="A31" s="11" t="s">
        <v>169</v>
      </c>
      <c r="B31" s="23" t="s">
        <v>170</v>
      </c>
      <c r="C31" s="30">
        <f>AVERAGE(C18,C23)</f>
        <v>248088.5</v>
      </c>
      <c r="D31" s="25"/>
    </row>
    <row r="32" spans="1:5" ht="15" customHeight="1" x14ac:dyDescent="0.2">
      <c r="A32" s="11" t="s">
        <v>171</v>
      </c>
      <c r="B32" s="23" t="s">
        <v>172</v>
      </c>
      <c r="C32" s="30">
        <f>AVERAGE(C20,C28)</f>
        <v>115667.5</v>
      </c>
      <c r="D32" s="25"/>
    </row>
    <row r="34" spans="1:5" ht="18" customHeight="1" x14ac:dyDescent="0.2">
      <c r="A34" s="2" t="s">
        <v>173</v>
      </c>
      <c r="B34" s="2"/>
      <c r="C34" s="2"/>
      <c r="D34" s="2"/>
      <c r="E34" s="2"/>
    </row>
    <row r="35" spans="1:5" ht="15" customHeight="1" x14ac:dyDescent="0.2">
      <c r="A35" s="28" t="s">
        <v>174</v>
      </c>
      <c r="B35" s="34" t="s">
        <v>175</v>
      </c>
      <c r="C35" s="35">
        <f>C10-C22</f>
        <v>686096.68</v>
      </c>
      <c r="D35" s="31" t="s">
        <v>176</v>
      </c>
      <c r="E35" s="32" t="s">
        <v>177</v>
      </c>
    </row>
    <row r="36" spans="1:5" ht="15" customHeight="1" x14ac:dyDescent="0.2">
      <c r="A36" s="28" t="s">
        <v>178</v>
      </c>
      <c r="B36" s="34" t="s">
        <v>179</v>
      </c>
      <c r="C36" s="36">
        <f>C10/C22</f>
        <v>9.1813558149795504</v>
      </c>
      <c r="D36" s="31" t="s">
        <v>180</v>
      </c>
      <c r="E36" s="32" t="s">
        <v>181</v>
      </c>
    </row>
    <row r="37" spans="1:5" ht="15" customHeight="1" x14ac:dyDescent="0.2">
      <c r="A37" s="28" t="s">
        <v>182</v>
      </c>
      <c r="B37" s="34" t="s">
        <v>183</v>
      </c>
      <c r="C37" s="35">
        <f>C11-(C7*C20)</f>
        <v>14024.445600000001</v>
      </c>
      <c r="D37" s="31" t="s">
        <v>184</v>
      </c>
      <c r="E37" s="32" t="s">
        <v>185</v>
      </c>
    </row>
    <row r="39" spans="1:5" ht="18" customHeight="1" x14ac:dyDescent="0.2">
      <c r="A39" s="2" t="s">
        <v>186</v>
      </c>
      <c r="B39" s="2"/>
      <c r="C39" s="2"/>
      <c r="D39" s="2"/>
      <c r="E39" s="2"/>
    </row>
    <row r="40" spans="1:5" ht="15" customHeight="1" x14ac:dyDescent="0.2">
      <c r="A40" s="28" t="s">
        <v>187</v>
      </c>
      <c r="B40" s="34" t="s">
        <v>188</v>
      </c>
      <c r="C40" s="37">
        <f>C11/C18</f>
        <v>9.246182148628479E-2</v>
      </c>
      <c r="D40" s="31" t="s">
        <v>189</v>
      </c>
      <c r="E40" s="32"/>
    </row>
    <row r="41" spans="1:5" ht="15" customHeight="1" x14ac:dyDescent="0.2">
      <c r="A41" s="28" t="s">
        <v>190</v>
      </c>
      <c r="B41" s="34" t="s">
        <v>191</v>
      </c>
      <c r="C41" s="37">
        <f>C11/C20</f>
        <v>0.20195826911677536</v>
      </c>
      <c r="D41" s="31" t="s">
        <v>192</v>
      </c>
      <c r="E41" s="32"/>
    </row>
    <row r="42" spans="1:5" ht="15" customHeight="1" x14ac:dyDescent="0.2">
      <c r="A42" s="28" t="s">
        <v>193</v>
      </c>
      <c r="B42" s="34" t="s">
        <v>194</v>
      </c>
      <c r="C42" s="37">
        <f>'Income Statement'!B21/C15</f>
        <v>0.25342599715749808</v>
      </c>
      <c r="D42" s="31" t="s">
        <v>195</v>
      </c>
      <c r="E42" s="32"/>
    </row>
    <row r="44" spans="1:5" ht="18" customHeight="1" x14ac:dyDescent="0.2">
      <c r="A44" s="2" t="s">
        <v>196</v>
      </c>
      <c r="B44" s="2"/>
      <c r="C44" s="2"/>
      <c r="D44" s="2"/>
      <c r="E44" s="2"/>
    </row>
    <row r="45" spans="1:5" ht="15" customHeight="1" x14ac:dyDescent="0.2">
      <c r="A45" s="28" t="s">
        <v>197</v>
      </c>
      <c r="B45" s="34" t="s">
        <v>198</v>
      </c>
      <c r="C45" s="37">
        <f>C11/C31</f>
        <v>9.0638774469594521E-2</v>
      </c>
      <c r="D45" s="31" t="s">
        <v>199</v>
      </c>
      <c r="E45" s="32"/>
    </row>
    <row r="46" spans="1:5" ht="15" customHeight="1" x14ac:dyDescent="0.2">
      <c r="A46" s="28" t="s">
        <v>200</v>
      </c>
      <c r="B46" s="34" t="s">
        <v>201</v>
      </c>
      <c r="C46" s="37">
        <f>C11/C32</f>
        <v>0.19440584088010895</v>
      </c>
      <c r="D46" s="31" t="s">
        <v>202</v>
      </c>
      <c r="E46" s="32"/>
    </row>
    <row r="47" spans="1:5" ht="15" customHeight="1" x14ac:dyDescent="0.2">
      <c r="A47" s="28" t="s">
        <v>203</v>
      </c>
      <c r="B47" s="34" t="s">
        <v>204</v>
      </c>
      <c r="C47" s="37">
        <f>'Income Statement'!B21/C30</f>
        <v>0.2421116882793328</v>
      </c>
      <c r="D47" s="31" t="s">
        <v>205</v>
      </c>
      <c r="E47" s="32"/>
    </row>
    <row r="49" spans="1:5" ht="18" customHeight="1" x14ac:dyDescent="0.2">
      <c r="A49" s="2" t="s">
        <v>206</v>
      </c>
      <c r="B49" s="2"/>
      <c r="C49" s="2"/>
      <c r="D49" s="2"/>
      <c r="E49" s="2"/>
    </row>
    <row r="50" spans="1:5" ht="15" customHeight="1" x14ac:dyDescent="0.2">
      <c r="A50" s="28" t="s">
        <v>207</v>
      </c>
      <c r="B50" s="34" t="s">
        <v>208</v>
      </c>
      <c r="C50" s="36">
        <f>'Income Statement'!B5/C18</f>
        <v>2.8001373372204426</v>
      </c>
      <c r="D50" s="31" t="s">
        <v>209</v>
      </c>
      <c r="E50" s="32"/>
    </row>
    <row r="51" spans="1:5" ht="15" customHeight="1" x14ac:dyDescent="0.2">
      <c r="A51" s="28" t="s">
        <v>210</v>
      </c>
      <c r="B51" s="34" t="s">
        <v>211</v>
      </c>
      <c r="C51" s="36">
        <f>'Income Statement'!B5/C17</f>
        <v>85.842052187066685</v>
      </c>
      <c r="D51" s="31" t="s">
        <v>212</v>
      </c>
      <c r="E51" s="32"/>
    </row>
    <row r="52" spans="1:5" ht="15" customHeight="1" x14ac:dyDescent="0.2">
      <c r="A52" s="28" t="s">
        <v>213</v>
      </c>
      <c r="B52" s="34" t="s">
        <v>214</v>
      </c>
      <c r="C52" s="38">
        <f>365/('Income Statement'!B5/C17)</f>
        <v>4.2519952715551739</v>
      </c>
      <c r="D52" s="31" t="s">
        <v>215</v>
      </c>
      <c r="E52" s="32"/>
    </row>
    <row r="53" spans="1:5" ht="15" customHeight="1" x14ac:dyDescent="0.2">
      <c r="A53" s="28" t="s">
        <v>216</v>
      </c>
      <c r="B53" s="34" t="s">
        <v>217</v>
      </c>
      <c r="C53" s="36">
        <f>'Income Statement'!B9/C16</f>
        <v>9.0454079468325794</v>
      </c>
      <c r="D53" s="31" t="s">
        <v>218</v>
      </c>
      <c r="E53" s="32"/>
    </row>
    <row r="54" spans="1:5" ht="15" customHeight="1" x14ac:dyDescent="0.2">
      <c r="A54" s="28" t="s">
        <v>219</v>
      </c>
      <c r="B54" s="34" t="s">
        <v>220</v>
      </c>
      <c r="C54" s="38">
        <f>365/('Income Statement'!B9/C16)</f>
        <v>40.351966671421565</v>
      </c>
      <c r="D54" s="31" t="s">
        <v>221</v>
      </c>
      <c r="E54" s="32"/>
    </row>
    <row r="55" spans="1:5" ht="15" customHeight="1" x14ac:dyDescent="0.2">
      <c r="A55" s="28" t="s">
        <v>222</v>
      </c>
      <c r="B55" s="34" t="s">
        <v>223</v>
      </c>
      <c r="C55" s="37">
        <f>'Income Statement'!B21/'Income Statement'!B5</f>
        <v>2.8541010448100913E-2</v>
      </c>
      <c r="D55" s="31" t="s">
        <v>224</v>
      </c>
      <c r="E55" s="32"/>
    </row>
    <row r="56" spans="1:5" ht="15" customHeight="1" x14ac:dyDescent="0.2">
      <c r="A56" s="28" t="s">
        <v>225</v>
      </c>
      <c r="B56" s="34" t="s">
        <v>226</v>
      </c>
      <c r="C56" s="37">
        <f>'Income Statement'!B13/'Income Statement'!B5</f>
        <v>4.3096397130626962E-2</v>
      </c>
      <c r="D56" s="31" t="s">
        <v>227</v>
      </c>
      <c r="E56" s="32"/>
    </row>
    <row r="57" spans="1:5" ht="15" customHeight="1" x14ac:dyDescent="0.2">
      <c r="A57" s="28" t="s">
        <v>228</v>
      </c>
      <c r="B57" s="34" t="s">
        <v>229</v>
      </c>
      <c r="C57" s="37">
        <f>('Income Statement'!B5-'Income Statement'!B9)/'Income Statement'!B5</f>
        <v>0.24851061330278934</v>
      </c>
      <c r="D57" s="31" t="s">
        <v>230</v>
      </c>
      <c r="E57" s="32"/>
    </row>
    <row r="59" spans="1:5" ht="18" customHeight="1" x14ac:dyDescent="0.2">
      <c r="A59" s="2" t="s">
        <v>231</v>
      </c>
      <c r="B59" s="2"/>
      <c r="C59" s="2"/>
      <c r="D59" s="2"/>
      <c r="E59" s="2"/>
    </row>
    <row r="60" spans="1:5" ht="15" customHeight="1" x14ac:dyDescent="0.2">
      <c r="A60" s="28" t="s">
        <v>232</v>
      </c>
      <c r="B60" s="34" t="s">
        <v>233</v>
      </c>
      <c r="C60" s="37">
        <f>'Balance Sheet'!B31/('Balance Sheet'!B31+'Balance Sheet'!B43)</f>
        <v>0.30111756519130284</v>
      </c>
      <c r="D60" s="31" t="s">
        <v>234</v>
      </c>
      <c r="E60" s="32"/>
    </row>
    <row r="61" spans="1:5" ht="15" customHeight="1" x14ac:dyDescent="0.2">
      <c r="A61" s="28" t="s">
        <v>235</v>
      </c>
      <c r="B61" s="34" t="s">
        <v>236</v>
      </c>
      <c r="C61" s="36">
        <f>'Balance Sheet'!B31/'Balance Sheet'!B43</f>
        <v>0.43085582094179653</v>
      </c>
      <c r="D61" s="31" t="s">
        <v>237</v>
      </c>
      <c r="E61" s="32"/>
    </row>
    <row r="62" spans="1:5" ht="15" customHeight="1" x14ac:dyDescent="0.2">
      <c r="A62" s="28" t="s">
        <v>238</v>
      </c>
      <c r="B62" s="34" t="s">
        <v>239</v>
      </c>
      <c r="C62" s="37">
        <f>('Balance Sheet'!B18-'Balance Sheet'!B43)/'Balance Sheet'!B18</f>
        <v>0.66850739188868691</v>
      </c>
      <c r="D62" s="31" t="s">
        <v>240</v>
      </c>
      <c r="E62" s="32"/>
    </row>
    <row r="63" spans="1:5" ht="15" customHeight="1" x14ac:dyDescent="0.2">
      <c r="A63" s="28" t="s">
        <v>241</v>
      </c>
      <c r="B63" s="34" t="s">
        <v>242</v>
      </c>
      <c r="C63" s="36">
        <f>'Income Statement'!B13/ABS('Income Statement'!B15)</f>
        <v>10.758064516129032</v>
      </c>
      <c r="D63" s="31" t="s">
        <v>243</v>
      </c>
      <c r="E63" s="32"/>
    </row>
    <row r="64" spans="1:5" ht="15" customHeight="1" x14ac:dyDescent="0.2">
      <c r="A64" s="28" t="s">
        <v>244</v>
      </c>
      <c r="B64" s="34" t="s">
        <v>245</v>
      </c>
      <c r="C64" s="36">
        <f>('Income Statement'!B13+'Income Statement'!B12)/ABS('Income Statement'!B15)</f>
        <v>15.515395894428153</v>
      </c>
      <c r="D64" s="31" t="s">
        <v>246</v>
      </c>
      <c r="E64" s="32"/>
    </row>
    <row r="65" spans="1:5" ht="15" customHeight="1" x14ac:dyDescent="0.2">
      <c r="A65" s="28" t="s">
        <v>247</v>
      </c>
      <c r="B65" s="34" t="s">
        <v>248</v>
      </c>
      <c r="C65" s="36">
        <f>('Income Statement'!B13+'Income Statement'!B15)/'Income Statement'!B13</f>
        <v>0.9070464767616192</v>
      </c>
      <c r="D65" s="31" t="s">
        <v>249</v>
      </c>
      <c r="E65" s="32"/>
    </row>
    <row r="66" spans="1:5" ht="15" customHeight="1" x14ac:dyDescent="0.2">
      <c r="A66" s="28" t="s">
        <v>250</v>
      </c>
      <c r="B66" s="34" t="s">
        <v>251</v>
      </c>
      <c r="C66" s="36">
        <f>'Balance Sheet'!B18/'Balance Sheet'!B43</f>
        <v>3.0166585182623629</v>
      </c>
      <c r="D66" s="31" t="s">
        <v>252</v>
      </c>
      <c r="E66" s="32"/>
    </row>
    <row r="68" spans="1:5" ht="18" customHeight="1" x14ac:dyDescent="0.2">
      <c r="A68" s="2" t="s">
        <v>253</v>
      </c>
      <c r="B68" s="2"/>
      <c r="C68" s="2"/>
      <c r="D68" s="2"/>
      <c r="E68" s="2"/>
    </row>
    <row r="69" spans="1:5" ht="15" customHeight="1" x14ac:dyDescent="0.2">
      <c r="A69" s="28" t="s">
        <v>254</v>
      </c>
      <c r="B69" s="34" t="s">
        <v>255</v>
      </c>
      <c r="C69" s="37">
        <f>C13/'Balance Sheet'!B18</f>
        <v>-5.9123250849869552E-2</v>
      </c>
      <c r="D69" s="31" t="s">
        <v>256</v>
      </c>
      <c r="E69" s="32"/>
    </row>
    <row r="70" spans="1:5" ht="15" customHeight="1" x14ac:dyDescent="0.2">
      <c r="A70" s="28" t="s">
        <v>257</v>
      </c>
      <c r="B70" s="34" t="s">
        <v>258</v>
      </c>
      <c r="C70" s="36">
        <f>'Balance Sheet'!B10/'Balance Sheet'!B29</f>
        <v>0.83815397933235947</v>
      </c>
      <c r="D70" s="31" t="s">
        <v>259</v>
      </c>
      <c r="E70" s="32"/>
    </row>
    <row r="71" spans="1:5" ht="15" customHeight="1" x14ac:dyDescent="0.2">
      <c r="A71" s="28" t="s">
        <v>260</v>
      </c>
      <c r="B71" s="34" t="s">
        <v>261</v>
      </c>
      <c r="C71" s="36">
        <f>('Balance Sheet'!B10-'Balance Sheet'!B8)/'Balance Sheet'!B29</f>
        <v>0.22748471568468323</v>
      </c>
      <c r="D71" s="31" t="s">
        <v>262</v>
      </c>
      <c r="E71" s="32"/>
    </row>
    <row r="72" spans="1:5" ht="15" customHeight="1" x14ac:dyDescent="0.2">
      <c r="A72" s="28" t="s">
        <v>263</v>
      </c>
      <c r="B72" s="34" t="s">
        <v>264</v>
      </c>
      <c r="C72" s="36">
        <f>'Balance Sheet'!B6/'Balance Sheet'!B29</f>
        <v>0.10063301412108423</v>
      </c>
      <c r="D72" s="31" t="s">
        <v>265</v>
      </c>
      <c r="E72" s="32"/>
    </row>
    <row r="74" spans="1:5" ht="18" customHeight="1" x14ac:dyDescent="0.2">
      <c r="A74" s="2" t="s">
        <v>266</v>
      </c>
      <c r="B74" s="2"/>
      <c r="C74" s="2"/>
      <c r="D74" s="2"/>
      <c r="E74" s="2"/>
    </row>
    <row r="75" spans="1:5" ht="15" customHeight="1" x14ac:dyDescent="0.2">
      <c r="A75" s="28" t="s">
        <v>267</v>
      </c>
      <c r="B75" s="34" t="s">
        <v>268</v>
      </c>
      <c r="C75" s="36">
        <f>'Income Statement'!B5/C18</f>
        <v>2.8001373372204426</v>
      </c>
      <c r="D75" s="31" t="s">
        <v>209</v>
      </c>
      <c r="E75" s="32"/>
    </row>
    <row r="76" spans="1:5" ht="15" customHeight="1" x14ac:dyDescent="0.2">
      <c r="A76" s="28" t="s">
        <v>269</v>
      </c>
      <c r="B76" s="34" t="s">
        <v>270</v>
      </c>
      <c r="C76" s="37">
        <f>'Income Statement'!B13/'Income Statement'!B5</f>
        <v>4.3096397130626962E-2</v>
      </c>
      <c r="D76" s="31" t="s">
        <v>227</v>
      </c>
      <c r="E76" s="32"/>
    </row>
    <row r="77" spans="1:5" ht="15" customHeight="1" x14ac:dyDescent="0.2">
      <c r="A77" s="28" t="s">
        <v>271</v>
      </c>
      <c r="B77" s="34" t="s">
        <v>272</v>
      </c>
      <c r="C77" s="36">
        <f>('Income Statement'!B13+'Income Statement'!B15)/'Income Statement'!B13</f>
        <v>0.9070464767616192</v>
      </c>
      <c r="D77" s="31" t="s">
        <v>273</v>
      </c>
      <c r="E77" s="32"/>
    </row>
    <row r="78" spans="1:5" ht="15" customHeight="1" x14ac:dyDescent="0.2">
      <c r="A78" s="28" t="s">
        <v>274</v>
      </c>
      <c r="B78" s="34" t="s">
        <v>275</v>
      </c>
      <c r="C78" s="36">
        <f>'Balance Sheet'!B18/'Balance Sheet'!B43</f>
        <v>3.0166585182623629</v>
      </c>
      <c r="D78" s="31" t="s">
        <v>252</v>
      </c>
      <c r="E78" s="32"/>
    </row>
    <row r="79" spans="1:5" ht="15" customHeight="1" x14ac:dyDescent="0.2">
      <c r="A79" s="28" t="s">
        <v>276</v>
      </c>
      <c r="B79" s="34" t="s">
        <v>277</v>
      </c>
      <c r="C79" s="37">
        <f>1-C8</f>
        <v>0.76619999999999999</v>
      </c>
      <c r="D79" s="31" t="s">
        <v>278</v>
      </c>
      <c r="E79" s="32"/>
    </row>
    <row r="80" spans="1:5" ht="15" customHeight="1" x14ac:dyDescent="0.2">
      <c r="A80" s="28" t="s">
        <v>279</v>
      </c>
      <c r="B80" s="34" t="s">
        <v>280</v>
      </c>
      <c r="C80" s="37">
        <f>C75*C76</f>
        <v>0.12067583070514851</v>
      </c>
      <c r="D80" s="31" t="s">
        <v>281</v>
      </c>
      <c r="E80" s="32" t="s">
        <v>282</v>
      </c>
    </row>
    <row r="81" spans="1:5" ht="15" customHeight="1" x14ac:dyDescent="0.2">
      <c r="A81" s="28" t="s">
        <v>283</v>
      </c>
      <c r="B81" s="34" t="s">
        <v>284</v>
      </c>
      <c r="C81" s="37">
        <f>C78*C75*C76*C77*C79</f>
        <v>0.25299861101558663</v>
      </c>
      <c r="D81" s="31" t="s">
        <v>285</v>
      </c>
      <c r="E81" s="32" t="s">
        <v>286</v>
      </c>
    </row>
  </sheetData>
  <mergeCells count="14">
    <mergeCell ref="A49:E49"/>
    <mergeCell ref="A59:E59"/>
    <mergeCell ref="A68:E68"/>
    <mergeCell ref="A74:E74"/>
    <mergeCell ref="A21:E21"/>
    <mergeCell ref="A29:E29"/>
    <mergeCell ref="A34:E34"/>
    <mergeCell ref="A39:E39"/>
    <mergeCell ref="A44:E44"/>
    <mergeCell ref="A1:E1"/>
    <mergeCell ref="A2:E2"/>
    <mergeCell ref="A4:E4"/>
    <mergeCell ref="A9:E9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topLeftCell="A5" zoomScaleNormal="100" workbookViewId="0">
      <selection sqref="A1:B1"/>
    </sheetView>
  </sheetViews>
  <sheetFormatPr baseColWidth="10" defaultColWidth="8.6640625" defaultRowHeight="15" x14ac:dyDescent="0.2"/>
  <cols>
    <col min="1" max="1" width="22" customWidth="1"/>
    <col min="2" max="2" width="70" customWidth="1"/>
  </cols>
  <sheetData>
    <row r="1" spans="1:2" ht="21.75" customHeight="1" x14ac:dyDescent="0.2">
      <c r="A1" s="1" t="s">
        <v>287</v>
      </c>
      <c r="B1" s="1"/>
    </row>
    <row r="2" spans="1:2" ht="30" customHeight="1" x14ac:dyDescent="0.2">
      <c r="A2" s="39" t="s">
        <v>288</v>
      </c>
      <c r="B2" s="40" t="s">
        <v>289</v>
      </c>
    </row>
    <row r="3" spans="1:2" ht="30" customHeight="1" x14ac:dyDescent="0.2">
      <c r="A3" s="41" t="s">
        <v>290</v>
      </c>
      <c r="B3" s="42" t="s">
        <v>291</v>
      </c>
    </row>
    <row r="4" spans="1:2" ht="30" customHeight="1" x14ac:dyDescent="0.2">
      <c r="A4" s="39" t="s">
        <v>292</v>
      </c>
      <c r="B4" s="40" t="s">
        <v>293</v>
      </c>
    </row>
    <row r="5" spans="1:2" ht="30" customHeight="1" x14ac:dyDescent="0.2">
      <c r="A5" s="41" t="s">
        <v>294</v>
      </c>
      <c r="B5" s="42" t="s">
        <v>295</v>
      </c>
    </row>
    <row r="6" spans="1:2" ht="30" customHeight="1" x14ac:dyDescent="0.2">
      <c r="A6" s="39" t="s">
        <v>296</v>
      </c>
      <c r="B6" s="40" t="s">
        <v>297</v>
      </c>
    </row>
    <row r="7" spans="1:2" ht="30" customHeight="1" x14ac:dyDescent="0.2">
      <c r="A7" s="41" t="s">
        <v>298</v>
      </c>
      <c r="B7" s="42" t="s">
        <v>299</v>
      </c>
    </row>
    <row r="8" spans="1:2" ht="30" customHeight="1" x14ac:dyDescent="0.2">
      <c r="A8" s="39" t="s">
        <v>300</v>
      </c>
      <c r="B8" s="40" t="s">
        <v>301</v>
      </c>
    </row>
    <row r="9" spans="1:2" ht="30" customHeight="1" x14ac:dyDescent="0.2">
      <c r="A9" s="41" t="s">
        <v>302</v>
      </c>
      <c r="B9" s="42" t="s">
        <v>303</v>
      </c>
    </row>
    <row r="10" spans="1:2" ht="30" customHeight="1" x14ac:dyDescent="0.2">
      <c r="A10" s="39" t="s">
        <v>304</v>
      </c>
      <c r="B10" s="40" t="s">
        <v>305</v>
      </c>
    </row>
    <row r="11" spans="1:2" ht="30" customHeight="1" x14ac:dyDescent="0.2">
      <c r="A11" s="41" t="s">
        <v>306</v>
      </c>
      <c r="B11" s="42" t="s">
        <v>307</v>
      </c>
    </row>
    <row r="12" spans="1:2" ht="30" customHeight="1" x14ac:dyDescent="0.2">
      <c r="A12" s="39" t="s">
        <v>308</v>
      </c>
      <c r="B12" s="40" t="s">
        <v>309</v>
      </c>
    </row>
    <row r="13" spans="1:2" ht="30" customHeight="1" x14ac:dyDescent="0.2">
      <c r="A13" s="41" t="s">
        <v>310</v>
      </c>
      <c r="B13" s="42" t="s">
        <v>311</v>
      </c>
    </row>
    <row r="14" spans="1:2" ht="30" customHeight="1" x14ac:dyDescent="0.2">
      <c r="A14" s="39" t="s">
        <v>312</v>
      </c>
      <c r="B14" s="40" t="s">
        <v>313</v>
      </c>
    </row>
    <row r="15" spans="1:2" ht="30" customHeight="1" x14ac:dyDescent="0.2">
      <c r="A15" s="41" t="s">
        <v>314</v>
      </c>
      <c r="B15" s="42" t="s">
        <v>315</v>
      </c>
    </row>
    <row r="16" spans="1:2" ht="30" customHeight="1" x14ac:dyDescent="0.2">
      <c r="A16" s="39" t="s">
        <v>316</v>
      </c>
      <c r="B16" s="40" t="s">
        <v>317</v>
      </c>
    </row>
    <row r="17" spans="1:2" ht="30" customHeight="1" x14ac:dyDescent="0.2">
      <c r="A17" s="41" t="s">
        <v>318</v>
      </c>
      <c r="B17" s="42" t="s">
        <v>319</v>
      </c>
    </row>
    <row r="18" spans="1:2" ht="30" customHeight="1" x14ac:dyDescent="0.2">
      <c r="A18" s="39" t="s">
        <v>320</v>
      </c>
      <c r="B18" s="40" t="s">
        <v>321</v>
      </c>
    </row>
    <row r="19" spans="1:2" ht="30" customHeight="1" x14ac:dyDescent="0.2">
      <c r="A19" s="41" t="s">
        <v>322</v>
      </c>
      <c r="B19" s="42" t="s">
        <v>323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Income Statement</vt:lpstr>
      <vt:lpstr>Cash Flow</vt:lpstr>
      <vt:lpstr>Ratios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Melia Belmes-Picache</cp:lastModifiedBy>
  <cp:revision>0</cp:revision>
  <dcterms:created xsi:type="dcterms:W3CDTF">2026-04-08T17:54:22Z</dcterms:created>
  <dcterms:modified xsi:type="dcterms:W3CDTF">2026-04-08T18:04:08Z</dcterms:modified>
  <dc:language>en-US</dc:language>
</cp:coreProperties>
</file>